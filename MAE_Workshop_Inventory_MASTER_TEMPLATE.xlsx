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1" documentId="13_ncr:1_{18ABDE8C-9C4E-4F00-B2FF-E4877FFDD8CD}" xr6:coauthVersionLast="47" xr6:coauthVersionMax="47" xr10:uidLastSave="{DD064C17-0AAC-40F7-A2B6-B50A57BE904F}"/>
  <bookViews>
    <workbookView xWindow="11424" yWindow="0" windowWidth="11712" windowHeight="10740" firstSheet="2" activeTab="3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3" l="1"/>
  <c r="J2" i="1"/>
  <c r="H2" i="1"/>
  <c r="F2" i="1"/>
  <c r="G2" i="1"/>
  <c r="E2" i="1"/>
  <c r="D2" i="1"/>
  <c r="K2" i="1"/>
  <c r="I2" i="1" a="1"/>
  <c r="I2" i="1" s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<sst xmlns="http://schemas.openxmlformats.org/spreadsheetml/2006/main" count="108" uniqueCount="79">
  <si>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</si>
  <si>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</si>
  <si>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</si>
  <si>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</si>
  <si>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</si>
  <si>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</si>
  <si>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</si>
  <si>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</si>
  <si>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</si>
  <si>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</si>
  <si>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</si>
  <si>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</si>
  <si>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</si>
  <si>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</si>
  <si>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</si>
  <si>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</si>
  <si>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</si>
  <si>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</si>
  <si>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</si>
  <si>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</si>
  <si>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</si>
  <si>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</si>
  <si>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</si>
  <si>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</si>
  <si>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</si>
  <si>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</si>
  <si>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</si>
  <si>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</si>
  <si>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</si>
  <si>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</si>
  <si>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</si>
  <si>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</si>
  <si>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</si>
  <si>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</si>
  <si>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</si>
  <si>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</si>
  <si>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</si>
  <si>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</si>
  <si>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</si>
  <si>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</si>
  <si>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</si>
  <si>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</si>
  <si>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</si>
  <si>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</si>
  <si>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</si>
  <si>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</si>
  <si>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</si>
  <si>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</si>
  <si>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</si>
  <si>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</si>
  <si>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</si>
  <si>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</si>
  <si>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</si>
  <si>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</si>
  <si>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</si>
  <si>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</si>
  <si>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</si>
  <si>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</si>
  <si>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</si>
  <si>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</si>
  <si>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</si>
  <si>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</si>
  <si>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</si>
  <si>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</si>
  <si>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</si>
  <si>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</si>
  <si>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</si>
  <si>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</si>
  <si>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</si>
  <si>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</si>
  <si>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</si>
  <si>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</si>
  <si>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Equipment Needing Repair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</si>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</sst>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</cellXfs>
  <cellStyles count="1">
    <cellStyle name="Normal" xfId="0" builtinId="0"/>
  </cellStyles>
  <dxfs count="118">
    <dxf>
      <numFmt numFmtId="164" formatCode="&quot;$&quot;#,##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4"/>
    <tableColumn id="2" xr3:uid="{1F5221B2-FFA0-40D9-A91A-FC8A4B03C6C2}" name="TEST String" dataDxfId="103"/>
    <tableColumn id="3" xr3:uid="{2786A104-092C-4BF4-9896-1EB64C071D4A}" name="TEST Integer" dataDxfId="102"/>
    <tableColumn id="4" xr3:uid="{B1215FF8-A5CC-415A-BE9C-30A04277BFC2}" name="TEST Currency" dataDxfId="101"/>
    <tableColumn id="5" xr3:uid="{596E6BD2-8E12-473A-9462-5B49301F9318}" name="TEST Formula" dataDxfId="100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9">
      <calculatedColumnFormula>SUM(TEST_Inventory[TEST Currency])</calculatedColumnFormula>
    </tableColumn>
    <tableColumn id="2" xr3:uid="{897E8C99-2561-458C-9F95-86F8CADD8AB6}" name="TEST Number Calc from other table" dataDxfId="98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K2" totalsRowShown="0" headerRowDxfId="117" dataDxfId="116">
  <autoFilter ref="A1:K2" xr:uid="{E23AAC9B-2490-4897-B1B0-35BCA496B1EC}"/>
  <tableColumns count="11">
    <tableColumn id="1" xr3:uid="{0FA08005-3EA3-40A4-B1F6-F97329C0333E}" name="mae_id" dataDxfId="115"/>
    <tableColumn id="2" xr3:uid="{9DC14395-3E47-4AD3-9478-A0A87F06E532}" name="Total Resell Investment" dataDxfId="114">
      <calculatedColumnFormula>SUM(Resell_Inventory[Total Investment])</calculatedColumnFormula>
    </tableColumn>
    <tableColumn id="3" xr3:uid="{BD093FBC-8AA5-4D1C-881C-2928F91ADF2E}" name="Total Actual Sales" dataDxfId="113">
      <calculatedColumnFormula>SUM(Resell_Inventory[Actual Sale Price])</calculatedColumnFormula>
    </tableColumn>
    <tableColumn id="8" xr3:uid="{8127FC92-B011-41A5-B229-AFBAD48CACAA}" name="Total Machinery Value" dataDxfId="112">
      <calculatedColumnFormula>SUM(Shop_Machinery[Purchase Cost])</calculatedColumnFormula>
    </tableColumn>
    <tableColumn id="9" xr3:uid="{A91267CC-638B-4A12-B7C7-5F4BB2369A54}" name="Total Power Tool Value" dataDxfId="111">
      <calculatedColumnFormula>SUM(Shop_Power_Tools[Purchase Price])</calculatedColumnFormula>
    </tableColumn>
    <tableColumn id="10" xr3:uid="{74988749-A386-4C80-9863-6BDF471B0985}" name="Total Hand Tool Value" dataDxfId="110">
      <calculatedColumnFormula>SUM(Shop_Hand_Tools[Purchase Price])</calculatedColumnFormula>
    </tableColumn>
    <tableColumn id="11" xr3:uid="{45ADA20D-C061-46B8-BB93-1E9FFDB98DBC}" name="Total Consumables Value" dataDxfId="109">
      <calculatedColumnFormula>SUM(Shop_Consumables[Current Inventory Value])</calculatedColumnFormula>
    </tableColumn>
    <tableColumn id="4" xr3:uid="{FF13FE4A-758B-454A-B440-546DF0DC594D}" name="Total Shop Asset Value" dataDxfId="108">
      <calculatedColumnFormula>SUM(D2,E2,F2,G2)</calculatedColumnFormula>
    </tableColumn>
    <tableColumn id="5" xr3:uid="{7A74BF46-8BED-4B91-99D0-B278CC6F7AEC}" name="Low Stock Items Count" dataDxfId="107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06">
      <calculatedColumnFormula>SUMIFS(Shop_Overhead[Amount], Shop_Overhead[Due Date], "&lt;="&amp;TODAY()+30, Shop_Overhead[Due Date], "&gt;="&amp;TODAY())</calculatedColumnFormula>
    </tableColumn>
    <tableColumn id="6" xr3:uid="{86A5DBCB-1064-4926-8405-405B453A4546}" name="Equipment Needing Repair" dataDxfId="105">
      <calculatedColumnFormula>COUNTIFS(Shop_Machinery[Condition], "Needs Repair") + COUNTIFS(Shop_Power_Tools[Condition], "Needs Repair") + COUNTIFS(Shop_Hand_Tools[Condition], "Needs Repair")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10" totalsRowShown="0">
  <autoFilter ref="A9:B10" xr:uid="{F579DA07-7AD6-49DA-9B44-D5B1132EDAC6}"/>
  <tableColumns count="2">
    <tableColumn id="1" xr3:uid="{7CA4839C-9603-479D-BD1C-8377DFA9603C}" name="Expense Category" dataDxfId="1"/>
    <tableColumn id="2" xr3:uid="{FE0F7616-EAF3-443D-AC69-DE6541DC10E5}" name="Annual Total" dataDxfId="0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97" dataDxfId="96">
  <autoFilter ref="A1:M2" xr:uid="{C0DAC3A4-C29F-4046-9A11-9992CD804FC2}"/>
  <tableColumns count="13">
    <tableColumn id="1" xr3:uid="{31EB6A75-D622-4C6B-8EF2-8277E8A807E0}" name="mae_id" dataDxfId="95"/>
    <tableColumn id="2" xr3:uid="{FE11B924-8CA4-4FDB-B876-A0F46F356DAB}" name="Asset ID" dataDxfId="94"/>
    <tableColumn id="3" xr3:uid="{F0848A0C-E009-47A8-9BE0-A358BFD7AFCB}" name="Item Name" dataDxfId="93"/>
    <tableColumn id="4" xr3:uid="{8A489BED-384E-4862-A8F1-BED75945CC4B}" name="Category" dataDxfId="92"/>
    <tableColumn id="5" xr3:uid="{79CCD507-3486-45B8-B1D7-DE959429BBF9}" name="Acquisition Date" dataDxfId="91"/>
    <tableColumn id="6" xr3:uid="{563DF2E7-2105-4612-A389-66D5F1AEDDF9}" name="Purchase Price" dataDxfId="90"/>
    <tableColumn id="7" xr3:uid="{FDBBAA67-6187-4328-A88E-15A2886AD21A}" name="Restoration Cost" dataDxfId="89"/>
    <tableColumn id="8" xr3:uid="{D8774B66-8C20-45C5-AA6A-345E630152B8}" name="Total Investment" dataDxfId="88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7"/>
    <tableColumn id="10" xr3:uid="{85695CF1-6906-4EBD-AC4D-EF944B62766A}" name="Target Sale Price" dataDxfId="86"/>
    <tableColumn id="11" xr3:uid="{F63E0332-DE71-48C1-8BAE-52EDD7B233C7}" name="Actual Sale Price" dataDxfId="85"/>
    <tableColumn id="14" xr3:uid="{BD7B1CE6-805E-44CC-9E90-B0E0159F46F5}" name="Location" dataDxfId="84"/>
    <tableColumn id="12" xr3:uid="{0E775026-8B56-4554-BC18-AC94F0BDF20B}" name="Location_ID" dataDxfId="8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2" dataDxfId="81">
  <autoFilter ref="A1:K2" xr:uid="{7851396C-069E-4DB6-B1D4-8332D0E308D8}"/>
  <tableColumns count="11">
    <tableColumn id="1" xr3:uid="{4BF4F34A-34E8-41F1-92A8-4DEC12050AE4}" name="mae_id" dataDxfId="80"/>
    <tableColumn id="2" xr3:uid="{D22F095D-654C-42BE-A88E-204282C3AC59}" name="Asset ID" dataDxfId="79"/>
    <tableColumn id="3" xr3:uid="{16C5F583-C3B4-49E4-BA38-E0F53D0CFD24}" name="Machine Name/Model" dataDxfId="78"/>
    <tableColumn id="4" xr3:uid="{217066CA-63B7-4030-A7FC-54062BE2122E}" name="Manufacturer/Brand" dataDxfId="77"/>
    <tableColumn id="5" xr3:uid="{635BBD6A-77A8-4D20-9604-D9224474672C}" name="Serial Number" dataDxfId="76"/>
    <tableColumn id="6" xr3:uid="{E313FD7A-F612-42AE-85A6-8693FFF5D72E}" name="Purchase Date" dataDxfId="75"/>
    <tableColumn id="7" xr3:uid="{5640579F-F227-4CF7-B821-9107014DE941}" name="Purchase Cost" dataDxfId="74"/>
    <tableColumn id="8" xr3:uid="{F332B8F1-9F04-43B0-BD71-656F6F526EC5}" name="Location" dataDxfId="73"/>
    <tableColumn id="11" xr3:uid="{A87C02EA-516D-41DC-8958-0A24FBEA5139}" name="Location_ID" dataDxfId="72"/>
    <tableColumn id="9" xr3:uid="{4845845F-E747-418E-9E07-D7130AC62B65}" name="Condition" dataDxfId="71"/>
    <tableColumn id="10" xr3:uid="{5A32000B-4543-43EE-ABB7-FB941F3116BD}" name="Manual Link/Other Info" dataDxfId="7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9" dataDxfId="68">
  <autoFilter ref="A1:I2" xr:uid="{4F48D65F-395D-4E16-BB60-D764CB43F7DA}"/>
  <tableColumns count="9">
    <tableColumn id="1" xr3:uid="{89DC1EFB-4874-484F-8A54-71D285209A36}" name="mae_id" dataDxfId="67"/>
    <tableColumn id="2" xr3:uid="{E9B83024-3108-49FE-BABC-CFF148D740E1}" name="Log ID" dataDxfId="66"/>
    <tableColumn id="3" xr3:uid="{3475773D-2245-4156-9F88-ED7AE0C20402}" name="Asset ID" dataDxfId="65"/>
    <tableColumn id="10" xr3:uid="{CE8F9225-208D-4395-B2DF-2A6CBB978A83}" name="Asset and Service Description" dataDxfId="64"/>
    <tableColumn id="4" xr3:uid="{2C9C0290-D9A7-42F8-BE3E-7F3F40E5A31F}" name="Service Date" dataDxfId="63"/>
    <tableColumn id="5" xr3:uid="{96FAFE7C-F67A-4F71-AD8A-97B41A62C852}" name="Service Type" dataDxfId="62"/>
    <tableColumn id="6" xr3:uid="{4C05311A-4D79-4E1B-9C84-A70DDD428604}" name="Performed By" dataDxfId="61"/>
    <tableColumn id="7" xr3:uid="{42638730-F8E7-4618-B878-1C695760484E}" name="Cost" dataDxfId="60"/>
    <tableColumn id="8" xr3:uid="{3F292746-268F-4EF2-B0BF-D9E17CC16858}" name="Next Service Date" dataDxfId="5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8" dataDxfId="57">
  <autoFilter ref="A1:I2" xr:uid="{B256D0AD-5808-43AD-9729-C30859C8E0E2}"/>
  <tableColumns count="9">
    <tableColumn id="1" xr3:uid="{14D3C0F3-786E-4D59-8EBE-4E8ECDF77355}" name="mae_id" dataDxfId="56"/>
    <tableColumn id="2" xr3:uid="{169523C9-3198-448C-A108-CBA0222ED119}" name="Asset_ID" dataDxfId="55"/>
    <tableColumn id="3" xr3:uid="{864AFF0F-A6FF-4703-9283-093CABA0AB94}" name="Tool Name/Model" dataDxfId="54"/>
    <tableColumn id="9" xr3:uid="{DC8BF91E-CE6C-4B37-88B8-9D97E3E9201C}" name="Purchase Price" dataDxfId="53"/>
    <tableColumn id="6" xr3:uid="{713E4785-F162-4507-8CEC-58D1900A8AB6}" name="Location_ID" dataDxfId="52"/>
    <tableColumn id="4" xr3:uid="{33A9C397-237A-43D3-A581-5DA7BEC5BEAE}" name="Functional Category" dataDxfId="51"/>
    <tableColumn id="7" xr3:uid="{4343A0FC-A88F-4191-8D18-BC86509BFBFF}" name="Operational Category" dataDxfId="50"/>
    <tableColumn id="8" xr3:uid="{DE84C9AE-3DAD-4522-AFC2-61396BA01671}" name="Power Source" dataDxfId="49"/>
    <tableColumn id="5" xr3:uid="{5416B904-9CBE-4604-9D84-C743A1D623A9}" name="Condition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7" dataDxfId="46">
  <autoFilter ref="A1:H2" xr:uid="{FA38DE34-8744-4C90-AB61-00EF0F13B199}"/>
  <tableColumns count="8">
    <tableColumn id="1" xr3:uid="{2B19855D-9BAD-44E0-A316-C1FF95F743CC}" name="mae_id" dataDxfId="45"/>
    <tableColumn id="2" xr3:uid="{679266D2-6F7C-4AA6-A692-6DC107A45D4D}" name="Asset_ID" dataDxfId="44"/>
    <tableColumn id="3" xr3:uid="{69442715-C75E-4B47-9564-7C3C4A1F6DAA}" name="Tool Name/Model" dataDxfId="43"/>
    <tableColumn id="6" xr3:uid="{FEE72CB9-B490-4E03-9BBA-F46847223551}" name="Purchase Price" dataDxfId="42"/>
    <tableColumn id="4" xr3:uid="{A8D20E4D-22EA-421D-82C7-3A077CDA19E8}" name="Category" dataDxfId="41"/>
    <tableColumn id="7" xr3:uid="{644102FD-D33A-4A70-A829-7ECBDAD17954}" name="Location_ID" dataDxfId="40"/>
    <tableColumn id="8" xr3:uid="{080EB12A-CA17-4337-B46C-53DEAA3B2327}" name="Condition" dataDxfId="39"/>
    <tableColumn id="5" xr3:uid="{F2705B4D-CE08-40AB-8854-3954BE8800AA}" name="Quantity" dataDxfId="3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7" dataDxfId="36">
  <autoFilter ref="A1:K2" xr:uid="{212D9CF8-0BB2-4891-BFC6-736775F62E4D}"/>
  <tableColumns count="11">
    <tableColumn id="1" xr3:uid="{43C4A9D4-2E17-4D62-8C0D-8DEDF0B4423A}" name="mae_id" dataDxfId="35"/>
    <tableColumn id="2" xr3:uid="{89FEB2D0-FBCD-4BE1-84C9-99FC556BBA41}" name="Item Name" dataDxfId="34"/>
    <tableColumn id="3" xr3:uid="{93700212-1764-4626-B112-F202F0AA0AAB}" name="Asset_ID" dataDxfId="33"/>
    <tableColumn id="9" xr3:uid="{3CECC6F9-9090-442B-A1A1-8A7961DEB8AF}" name="Category" dataDxfId="32"/>
    <tableColumn id="4" xr3:uid="{BE4BDDA8-E894-4184-B2C5-A998CB44E20F}" name="Unit of Measure" dataDxfId="31"/>
    <tableColumn id="5" xr3:uid="{374E0561-27A0-4254-B830-D7E7F0E1D5AE}" name="Current Stock" dataDxfId="30"/>
    <tableColumn id="6" xr3:uid="{767749E4-A67C-4AFF-BA8F-5DBF1AF53F43}" name="Reorder Point" dataDxfId="29"/>
    <tableColumn id="7" xr3:uid="{EB68210F-A1A5-4B47-B8FB-56CB47C8487E}" name="Unit Cost" dataDxfId="28"/>
    <tableColumn id="10" xr3:uid="{AD664ABD-E878-4391-A095-B228A1F2A62D}" name="Current Inventory Value" dataDxfId="27">
      <calculatedColumnFormula>Shop_Consumables[[#This Row],[Current Stock]]*Shop_Consumables[[#This Row],[Unit Cost]]</calculatedColumnFormula>
    </tableColumn>
    <tableColumn id="11" xr3:uid="{511966F0-606F-407D-B09E-02F31902094D}" name="Location_ID" dataDxfId="26"/>
    <tableColumn id="8" xr3:uid="{E92F90B7-BEB2-4C65-80CE-6243F77F7CC4}" name="Preferred Supplier" dataDxfId="2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4" dataDxfId="23">
  <autoFilter ref="A1:G2" xr:uid="{D2B78E2D-D1BA-4980-AD28-7371DA7E8BF1}"/>
  <tableColumns count="7">
    <tableColumn id="1" xr3:uid="{D0403366-FF83-43D4-A4A6-53D956BB53D5}" name="mae_id" dataDxfId="22"/>
    <tableColumn id="2" xr3:uid="{115FC258-36AA-4A2D-895A-FE4B5FFF6B06}" name="Expense Category" dataDxfId="21"/>
    <tableColumn id="3" xr3:uid="{4B114529-F91B-482E-9657-3D4FA758474D}" name="Description" dataDxfId="20"/>
    <tableColumn id="4" xr3:uid="{F8FB0744-346B-4B81-82DA-5BADEC284B94}" name="Payment Frequency" dataDxfId="19"/>
    <tableColumn id="5" xr3:uid="{D172DF65-3EB9-4C6D-9AB1-AF943A035CF4}" name="Due Date" dataDxfId="18"/>
    <tableColumn id="6" xr3:uid="{B1E060DC-CDE4-40B3-9DE0-440A66FD2817}" name="Amount" dataDxfId="17"/>
    <tableColumn id="7" xr3:uid="{BE283BC1-242E-4333-BF81-EBC4F9B2483D}" name="Auto-Pay?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5" dataDxfId="14">
  <autoFilter ref="A1:G2" xr:uid="{4D5A2D88-6FFF-49FE-93CF-46B9225A62FF}"/>
  <tableColumns count="7">
    <tableColumn id="1" xr3:uid="{B1057331-F99D-4824-9EC8-9800B5256BF6}" name="mae_id" dataDxfId="13"/>
    <tableColumn id="11" xr3:uid="{B56AF81F-63CB-4874-A9B8-B76E4D91E239}" name="Supplier Name" dataDxfId="12"/>
    <tableColumn id="2" xr3:uid="{6D90D0F5-8F28-4725-BF13-0A57A9536E58}" name="Contact Person" dataDxfId="11"/>
    <tableColumn id="10" xr3:uid="{DBCEF9D0-078A-4536-BA57-A5D99D4510DF}" name="Phone" dataDxfId="10"/>
    <tableColumn id="6" xr3:uid="{2D53D9C2-51E7-4946-A506-A47B54EDDA21}" name="Email" dataDxfId="9"/>
    <tableColumn id="12" xr3:uid="{A82FB354-D6D5-4ECA-B820-0C76DC34EF4D}" name="Website" dataDxfId="8"/>
    <tableColumn id="9" xr3:uid="{48CFB17A-2B61-479C-A6CF-4AC3020D2F09}" name="Notes/Other Info" dataDxfId="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6"/>
    <tableColumn id="2" xr3:uid="{7E953E1D-BE2C-4F7F-AAE5-06F3EDBC1067}" name="Location_ID" dataDxfId="5"/>
    <tableColumn id="3" xr3:uid="{60368768-3E0A-4CA0-8B3A-F230D9D220C2}" name="Name" dataDxfId="4"/>
    <tableColumn id="4" xr3:uid="{2569BB68-2F34-48DF-B4D9-298E8FFAD0B9}" name="Type" dataDxfId="3"/>
    <tableColumn id="5" xr3:uid="{C3AEC2FA-3915-4BA0-84FD-35E285F83E09}" name="Parent_Loca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K2"/>
  <sheetViews>
    <sheetView topLeftCell="G1" workbookViewId="0">
      <pane ySplit="1" topLeftCell="A2" activePane="bottomLeft" state="frozen"/>
      <selection pane="bottomLeft" activeCell="J2" sqref="J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25.6640625" style="7" bestFit="1" customWidth="1"/>
    <col min="12" max="16384" width="8.88671875" style="6"/>
  </cols>
  <sheetData>
    <row r="1" spans="1:11" x14ac:dyDescent="0.3">
      <c r="A1" s="1" t="s">
        <v>0</v>
      </c>
      <c r="B1" s="5" t="s">
        <v>68</v>
      </c>
      <c r="C1" s="5" t="s">
        <v>69</v>
      </c>
      <c r="D1" s="5" t="s">
        <v>73</v>
      </c>
      <c r="E1" s="5" t="s">
        <v>74</v>
      </c>
      <c r="F1" s="5" t="s">
        <v>76</v>
      </c>
      <c r="G1" s="5" t="s">
        <v>75</v>
      </c>
      <c r="H1" s="5" t="s">
        <v>70</v>
      </c>
      <c r="I1" s="11" t="s">
        <v>71</v>
      </c>
      <c r="J1" s="5" t="s">
        <v>77</v>
      </c>
      <c r="K1" s="8" t="s">
        <v>72</v>
      </c>
    </row>
    <row r="2" spans="1:11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>
        <f>COUNTIFS(Shop_Machinery[Condition], "Needs Repair") + COUNTIFS(Shop_Power_Tools[Condition], "Needs Repair") + COUNTIFS(Shop_Hand_Tools[Condition], "Needs Repair")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10"/>
  <sheetViews>
    <sheetView tabSelected="1" topLeftCell="A9" workbookViewId="0">
      <selection activeCell="B10" sqref="B10"/>
    </sheetView>
  </sheetViews>
  <sheetFormatPr defaultRowHeight="14.4" x14ac:dyDescent="0.3"/>
  <cols>
    <col min="1" max="1" width="17.44140625" style="4" customWidth="1"/>
    <col min="2" max="2" width="13" style="5" customWidth="1"/>
  </cols>
  <sheetData>
    <row r="9" spans="1:2" x14ac:dyDescent="0.3">
      <c r="A9" s="4" t="s">
        <v>31</v>
      </c>
      <c r="B9" s="5" t="s">
        <v>78</v>
      </c>
    </row>
    <row r="10" spans="1:2" x14ac:dyDescent="0.3">
      <c r="B10" s="5">
        <f>SUMIF(Shop_Overhead[Expense Category], Overhead_Summary[[#This Row],[Expense Category]], Shop_Overhead[Amount])</f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H6" sqref="H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2026-04-06T19:50:51Z</dcterms:modified>
  <cp:category/>
  <cp:contentStatus/>
</cp:coreProperties>
</file>