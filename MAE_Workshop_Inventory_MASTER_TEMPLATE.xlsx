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45" documentId="13_ncr:1_{8CE4ED70-7C3C-4CCA-B9CD-0FFB5498A43E}" xr6:coauthVersionLast="47" xr6:coauthVersionMax="47" xr10:uidLastSave="{C37D2403-5298-468D-9B1D-AEA9CE38C7EF}"/>
  <bookViews>
    <workbookView xWindow="-180" yWindow="0" windowWidth="16728" windowHeight="11904" firstSheet="8" activeTab="10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0" l="1"/>
  <c r="E3" i="10"/>
  <c r="B2" i="11"/>
  <c r="A2" i="11"/>
  <c r="E2" i="10"/>
  <c r="H2" i="2"/>
</calcChain>
</file>

<file path=xl/sharedStrings.xml><?xml version="1.0" encoding="utf-8"?>
<sst xmlns="http://schemas.openxmlformats.org/spreadsheetml/2006/main" count="87" uniqueCount="70">
  <si>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</si>
  <si>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</si>
  <si>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</si>
  <si>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</si>
  <si>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</si>
  <si>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</si>
  <si>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</si>
  <si>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</si>
  <si>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</si>
  <si>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</si>
  <si>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</si>
  <si>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</si>
  <si>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</si>
  <si>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</si>
  <si>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</si>
  <si>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</si>
  <si>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</si>
  <si>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</si>
  <si>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</si>
  <si>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</si>
  <si>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</si>
  <si>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</si>
  <si>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</si>
  <si>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</si>
  <si>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</si>
  <si>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</si>
  <si>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</si>
  <si>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</si>
  <si>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</si>
  <si>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</si>
  <si>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</si>
  <si>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</si>
  <si>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</si>
  <si>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</si>
  <si>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</si>
  <si>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</si>
  <si>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</si>
  <si>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</si>
  <si>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</si>
  <si>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</si>
  <si>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</si>
  <si>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</si>
  <si>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</si>
  <si>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</si>
  <si>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</si>
  <si>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</si>
  <si>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</si>
  <si>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</si>
  <si>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</si>
  <si>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</si>
  <si>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</si>
  <si>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</si>
  <si>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</si>
  <si>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</si>
  <si>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</si>
  <si>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</si>
  <si>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</si>
  <si>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</si>
  <si>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</si>
  <si>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</si>
  <si>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</si>
  <si>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</si>
  <si>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</si>
  <si>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</si>
  <si>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</si>
  <si>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Asset Description</t>
  </si>
  <si>
    <t>Functional Category</t>
  </si>
  <si>
    <t>Operational Category</t>
  </si>
  <si>
    <t>Power Source</t>
  </si>
  <si>
    <t>Current Inventory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</si>
</sst>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98">
    <dxf>
      <numFmt numFmtId="164" formatCode="&quot;$&quot;#,##0.00"/>
      <protection locked="0" hidden="0"/>
    </dxf>
    <dxf>
      <numFmt numFmtId="30" formatCode="@"/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4" totalsRowShown="0">
  <autoFilter ref="A1:F4" xr:uid="{8E24649D-B6D3-4E82-B133-E0A5E1711E35}"/>
  <tableColumns count="6">
    <tableColumn id="1" xr3:uid="{B0FB5A70-86CF-4587-B50C-E7DDB5961BCE}" name="mae_id" dataDxfId="97"/>
    <tableColumn id="2" xr3:uid="{1F5221B2-FFA0-40D9-A91A-FC8A4B03C6C2}" name="TEST String" dataDxfId="96"/>
    <tableColumn id="3" xr3:uid="{2786A104-092C-4BF4-9896-1EB64C071D4A}" name="TEST Integer" dataDxfId="95"/>
    <tableColumn id="4" xr3:uid="{B1215FF8-A5CC-415A-BE9C-30A04277BFC2}" name="TEST Currency" dataDxfId="94"/>
    <tableColumn id="5" xr3:uid="{596E6BD2-8E12-473A-9462-5B49301F9318}" name="TEST Formula" dataDxfId="93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2">
      <calculatedColumnFormula>SUM(TEST_Inventory[TEST Currency])</calculatedColumnFormula>
    </tableColumn>
    <tableColumn id="2" xr3:uid="{897E8C99-2561-458C-9F95-86F8CADD8AB6}" name="TEST Number Calc from other table" dataDxfId="9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0" dataDxfId="89">
  <autoFilter ref="A1:F2" xr:uid="{E23AAC9B-2490-4897-B1B0-35BCA496B1EC}"/>
  <tableColumns count="6">
    <tableColumn id="1" xr3:uid="{0FA08005-3EA3-40A4-B1F6-F97329C0333E}" name="mae_id" dataDxfId="88"/>
    <tableColumn id="2" xr3:uid="{9DC14395-3E47-4AD3-9478-A0A87F06E532}" name="Total Inventory Value" dataDxfId="87"/>
    <tableColumn id="3" xr3:uid="{BD093FBC-8AA5-4D1C-881C-2928F91ADF2E}" name="Low Stock Alerts" dataDxfId="86"/>
    <tableColumn id="4" xr3:uid="{FF13FE4A-758B-454A-B440-546DF0DC594D}" name="Upcoming Maintenance" dataDxfId="85"/>
    <tableColumn id="5" xr3:uid="{7A74BF46-8BED-4B91-99D0-B278CC6F7AEC}" name="Monthly Overhead Total" dataDxfId="84"/>
    <tableColumn id="6" xr3:uid="{86A5DBCB-1064-4926-8405-405B453A4546}" name="Supplier Performance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82" dataDxfId="81">
  <autoFilter ref="A1:L2" xr:uid="{C0DAC3A4-C29F-4046-9A11-9992CD804FC2}"/>
  <tableColumns count="12">
    <tableColumn id="1" xr3:uid="{31EB6A75-D622-4C6B-8EF2-8277E8A807E0}" name="mae_id" dataDxfId="80"/>
    <tableColumn id="2" xr3:uid="{FE11B924-8CA4-4FDB-B876-A0F46F356DAB}" name="Asset ID" dataDxfId="79"/>
    <tableColumn id="3" xr3:uid="{F0848A0C-E009-47A8-9BE0-A358BFD7AFCB}" name="Item Name" dataDxfId="78"/>
    <tableColumn id="4" xr3:uid="{8A489BED-384E-4862-A8F1-BED75945CC4B}" name="Category" dataDxfId="77"/>
    <tableColumn id="5" xr3:uid="{79CCD507-3486-45B8-B1D7-DE959429BBF9}" name="Acquisition Date" dataDxfId="76"/>
    <tableColumn id="6" xr3:uid="{563DF2E7-2105-4612-A389-66D5F1AEDDF9}" name="Purchase Price" dataDxfId="75"/>
    <tableColumn id="7" xr3:uid="{FDBBAA67-6187-4328-A88E-15A2886AD21A}" name="Restoration Cost" dataDxfId="74"/>
    <tableColumn id="8" xr3:uid="{D8774B66-8C20-45C5-AA6A-345E630152B8}" name="Total Investment" dataDxfId="73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2"/>
    <tableColumn id="10" xr3:uid="{85695CF1-6906-4EBD-AC4D-EF944B62766A}" name="Target Sale Price" dataDxfId="71"/>
    <tableColumn id="11" xr3:uid="{F63E0332-DE71-48C1-8BAE-52EDD7B233C7}" name="Actual Sale Price" dataDxfId="70"/>
    <tableColumn id="12" xr3:uid="{0E775026-8B56-4554-BC18-AC94F0BDF20B}" name="Location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8" dataDxfId="67">
  <autoFilter ref="A1:J2" xr:uid="{7851396C-069E-4DB6-B1D4-8332D0E308D8}"/>
  <tableColumns count="10">
    <tableColumn id="1" xr3:uid="{4BF4F34A-34E8-41F1-92A8-4DEC12050AE4}" name="mae_id" dataDxfId="66"/>
    <tableColumn id="2" xr3:uid="{D22F095D-654C-42BE-A88E-204282C3AC59}" name="Asset ID" dataDxfId="65"/>
    <tableColumn id="3" xr3:uid="{16C5F583-C3B4-49E4-BA38-E0F53D0CFD24}" name="Machine Name/Model" dataDxfId="64"/>
    <tableColumn id="4" xr3:uid="{217066CA-63B7-4030-A7FC-54062BE2122E}" name="Manufacturer/Brand" dataDxfId="63"/>
    <tableColumn id="5" xr3:uid="{635BBD6A-77A8-4D20-9604-D9224474672C}" name="Serial Number" dataDxfId="62"/>
    <tableColumn id="6" xr3:uid="{E313FD7A-F612-42AE-85A6-8693FFF5D72E}" name="Purchase Date" dataDxfId="61"/>
    <tableColumn id="7" xr3:uid="{5640579F-F227-4CF7-B821-9107014DE941}" name="Purchase Cost" dataDxfId="60"/>
    <tableColumn id="8" xr3:uid="{F332B8F1-9F04-43B0-BD71-656F6F526EC5}" name="Location" dataDxfId="59"/>
    <tableColumn id="9" xr3:uid="{4845845F-E747-418E-9E07-D7130AC62B65}" name="Status" dataDxfId="58"/>
    <tableColumn id="10" xr3:uid="{5A32000B-4543-43EE-ABB7-FB941F3116BD}" name="Manual Link/Other Info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56" dataDxfId="55">
  <autoFilter ref="A1:I2" xr:uid="{4F48D65F-395D-4E16-BB60-D764CB43F7DA}"/>
  <tableColumns count="9">
    <tableColumn id="1" xr3:uid="{89DC1EFB-4874-484F-8A54-71D285209A36}" name="mae_id" dataDxfId="54"/>
    <tableColumn id="2" xr3:uid="{E9B83024-3108-49FE-BABC-CFF148D740E1}" name="Log ID" dataDxfId="53"/>
    <tableColumn id="3" xr3:uid="{3475773D-2245-4156-9F88-ED7AE0C20402}" name="Asset ID" dataDxfId="52"/>
    <tableColumn id="10" xr3:uid="{CE8F9225-208D-4395-B2DF-2A6CBB978A83}" name="Asset Description" dataDxfId="4"/>
    <tableColumn id="4" xr3:uid="{2C9C0290-D9A7-42F8-BE3E-7F3F40E5A31F}" name="Service Date" dataDxfId="51"/>
    <tableColumn id="5" xr3:uid="{96FAFE7C-F67A-4F71-AD8A-97B41A62C852}" name="Service Type" dataDxfId="50"/>
    <tableColumn id="6" xr3:uid="{4C05311A-4D79-4E1B-9C84-A70DDD428604}" name="Performed By" dataDxfId="49"/>
    <tableColumn id="7" xr3:uid="{42638730-F8E7-4618-B878-1C695760484E}" name="Cost" dataDxfId="48"/>
    <tableColumn id="8" xr3:uid="{3F292746-268F-4EF2-B0BF-D9E17CC16858}" name="Next Service Date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G2" totalsRowShown="0" headerRowDxfId="46" dataDxfId="45">
  <autoFilter ref="A1:G2" xr:uid="{B256D0AD-5808-43AD-9729-C30859C8E0E2}"/>
  <tableColumns count="7">
    <tableColumn id="1" xr3:uid="{14D3C0F3-786E-4D59-8EBE-4E8ECDF77355}" name="mae_id" dataDxfId="44"/>
    <tableColumn id="2" xr3:uid="{169523C9-3198-448C-A108-CBA0222ED119}" name="Tool ID" dataDxfId="43"/>
    <tableColumn id="3" xr3:uid="{864AFF0F-A6FF-4703-9283-093CABA0AB94}" name="Tool Name/Model" dataDxfId="42"/>
    <tableColumn id="4" xr3:uid="{33A9C397-237A-43D3-A581-5DA7BEC5BEAE}" name="Functional Category" dataDxfId="41"/>
    <tableColumn id="7" xr3:uid="{4343A0FC-A88F-4191-8D18-BC86509BFBFF}" name="Operational Category" dataDxfId="3"/>
    <tableColumn id="8" xr3:uid="{DE84C9AE-3DAD-4522-AFC2-61396BA01671}" name="Power Source" dataDxfId="2"/>
    <tableColumn id="5" xr3:uid="{5416B904-9CBE-4604-9D84-C743A1D623A9}" name="Condition" dataDxfId="4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9" dataDxfId="38">
  <autoFilter ref="A1:E2" xr:uid="{FA38DE34-8744-4C90-AB61-00EF0F13B199}"/>
  <tableColumns count="5">
    <tableColumn id="1" xr3:uid="{2B19855D-9BAD-44E0-A316-C1FF95F743CC}" name="mae_id" dataDxfId="37"/>
    <tableColumn id="2" xr3:uid="{679266D2-6F7C-4AA6-A692-6DC107A45D4D}" name="Tool ID" dataDxfId="36"/>
    <tableColumn id="3" xr3:uid="{69442715-C75E-4B47-9564-7C3C4A1F6DAA}" name="Tool Name/Model" dataDxfId="35"/>
    <tableColumn id="4" xr3:uid="{A8D20E4D-22EA-421D-82C7-3A077CDA19E8}" name="Category" dataDxfId="34"/>
    <tableColumn id="5" xr3:uid="{F2705B4D-CE08-40AB-8854-3954BE8800AA}" name="Quantity" dataDxfId="3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J2" insertRow="1" totalsRowShown="0" headerRowDxfId="32" dataDxfId="31">
  <autoFilter ref="A1:J2" xr:uid="{212D9CF8-0BB2-4891-BFC6-736775F62E4D}"/>
  <tableColumns count="10">
    <tableColumn id="1" xr3:uid="{43C4A9D4-2E17-4D62-8C0D-8DEDF0B4423A}" name="mae_id" dataDxfId="30"/>
    <tableColumn id="2" xr3:uid="{89FEB2D0-FBCD-4BE1-84C9-99FC556BBA41}" name="Item Name" dataDxfId="29"/>
    <tableColumn id="3" xr3:uid="{93700212-1764-4626-B112-F202F0AA0AAB}" name="SKU/Item ID" dataDxfId="28"/>
    <tableColumn id="9" xr3:uid="{3CECC6F9-9090-442B-A1A1-8A7961DEB8AF}" name="Category" dataDxfId="1"/>
    <tableColumn id="4" xr3:uid="{BE4BDDA8-E894-4184-B2C5-A998CB44E20F}" name="Unit of Measure" dataDxfId="27"/>
    <tableColumn id="5" xr3:uid="{374E0561-27A0-4254-B830-D7E7F0E1D5AE}" name="Current Stock" dataDxfId="26"/>
    <tableColumn id="6" xr3:uid="{767749E4-A67C-4AFF-BA8F-5DBF1AF53F43}" name="Reorder Point" dataDxfId="25"/>
    <tableColumn id="7" xr3:uid="{EB68210F-A1A5-4B47-B8FB-56CB47C8487E}" name="Unit Cost" dataDxfId="24"/>
    <tableColumn id="10" xr3:uid="{AD664ABD-E878-4391-A095-B228A1F2A62D}" name="Current Inventory Value" dataDxfId="0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6"/>
    <tableColumn id="2" xr3:uid="{6D90D0F5-8F28-4725-BF13-0A57A9536E58}" name="Contact Person" dataDxfId="10"/>
    <tableColumn id="10" xr3:uid="{DBCEF9D0-078A-4536-BA57-A5D99D4510DF}" name="Phone" dataDxfId="7"/>
    <tableColumn id="6" xr3:uid="{2D53D9C2-51E7-4946-A506-A47B54EDDA21}" name="Email" dataDxfId="9"/>
    <tableColumn id="12" xr3:uid="{A82FB354-D6D5-4ECA-B820-0C76DC34EF4D}" name="Website" dataDxfId="5"/>
    <tableColumn id="9" xr3:uid="{48CFB17A-2B61-479C-A6CF-4AC3020D2F09}" name="Notes/Other Inf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4"/>
  <sheetViews>
    <sheetView workbookViewId="0">
      <selection activeCell="C4" sqref="C4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10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47</v>
      </c>
      <c r="C1" s="10" t="s">
        <v>48</v>
      </c>
      <c r="D1" s="5" t="s">
        <v>49</v>
      </c>
      <c r="E1" s="5" t="s">
        <v>50</v>
      </c>
      <c r="F1" t="s">
        <v>51</v>
      </c>
    </row>
    <row r="2" spans="1:6" x14ac:dyDescent="0.3">
      <c r="B2" s="4" t="s">
        <v>54</v>
      </c>
      <c r="C2" s="10">
        <v>3</v>
      </c>
      <c r="D2" s="5">
        <v>100</v>
      </c>
      <c r="E2" s="5">
        <f>TEST_Inventory[[#This Row],[TEST Integer]]*TEST_Inventory[[#This Row],[TEST Currency]]</f>
        <v>300</v>
      </c>
      <c r="F2" t="s">
        <v>55</v>
      </c>
    </row>
    <row r="3" spans="1:6" x14ac:dyDescent="0.3">
      <c r="B3" s="4" t="s">
        <v>56</v>
      </c>
      <c r="C3" s="10">
        <v>4</v>
      </c>
      <c r="D3" s="5">
        <v>10</v>
      </c>
      <c r="E3" s="5">
        <f>TEST_Inventory[[#This Row],[TEST Integer]]*TEST_Inventory[[#This Row],[TEST Currency]]</f>
        <v>40</v>
      </c>
      <c r="F3" t="s">
        <v>57</v>
      </c>
    </row>
    <row r="4" spans="1:6" x14ac:dyDescent="0.3">
      <c r="B4" s="4" t="s">
        <v>58</v>
      </c>
      <c r="C4" s="10">
        <v>5</v>
      </c>
      <c r="D4" s="5">
        <v>20</v>
      </c>
      <c r="E4" s="5">
        <f>TEST_Inventory[[#This Row],[TEST Integer]]*TEST_Inventory[[#This Row],[TEST Currency]]</f>
        <v>100</v>
      </c>
      <c r="F4" t="s">
        <v>59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A2" sqref="A2"/>
    </sheetView>
  </sheetViews>
  <sheetFormatPr defaultRowHeight="14.4" x14ac:dyDescent="0.3"/>
  <cols>
    <col min="1" max="1" width="24.21875" style="5" customWidth="1"/>
    <col min="2" max="2" width="31.5546875" style="10" customWidth="1"/>
  </cols>
  <sheetData>
    <row r="1" spans="1:2" x14ac:dyDescent="0.3">
      <c r="A1" s="5" t="s">
        <v>52</v>
      </c>
      <c r="B1" s="10" t="s">
        <v>53</v>
      </c>
    </row>
    <row r="2" spans="1:2" x14ac:dyDescent="0.3">
      <c r="A2" s="5">
        <f>SUM(TEST_Inventory[TEST Currency])</f>
        <v>130</v>
      </c>
      <c r="B2" s="10">
        <f>SUM(TEST_Inventory[TEST Integer])</f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2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  <row r="2" spans="1:12" x14ac:dyDescent="0.3">
      <c r="F2" s="3">
        <v>5</v>
      </c>
      <c r="G2" s="3">
        <v>5</v>
      </c>
      <c r="H2" s="5">
        <f>Resell_Inventory[[#This Row],[Purchase Price]]+Resell_Inventory[[#This Row],[Restoration Cost]]</f>
        <v>10</v>
      </c>
    </row>
  </sheetData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topLeftCell="D1" workbookViewId="0">
      <selection activeCell="J1" sqref="J1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64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17.88671875" style="2" bestFit="1" customWidth="1"/>
    <col min="5" max="5" width="13.6640625" style="7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7" bestFit="1" customWidth="1"/>
    <col min="10" max="16384" width="8.88671875" style="6"/>
  </cols>
  <sheetData>
    <row r="1" spans="1:9" x14ac:dyDescent="0.3">
      <c r="A1" s="1" t="s">
        <v>0</v>
      </c>
      <c r="B1" s="4" t="s">
        <v>23</v>
      </c>
      <c r="C1" s="4" t="s">
        <v>6</v>
      </c>
      <c r="D1" s="4" t="s">
        <v>65</v>
      </c>
      <c r="E1" s="8" t="s">
        <v>24</v>
      </c>
      <c r="F1" t="s">
        <v>25</v>
      </c>
      <c r="G1" t="s">
        <v>26</v>
      </c>
      <c r="H1" s="5" t="s">
        <v>27</v>
      </c>
      <c r="I1" s="8" t="s">
        <v>28</v>
      </c>
    </row>
  </sheetData>
  <dataValidations count="2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2:G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G1"/>
  <sheetViews>
    <sheetView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9.88671875" style="6" bestFit="1" customWidth="1"/>
    <col min="5" max="5" width="19.88671875" style="6" customWidth="1"/>
    <col min="6" max="6" width="14.44140625" style="6" bestFit="1" customWidth="1"/>
    <col min="7" max="7" width="13.5546875" style="6" customWidth="1"/>
    <col min="8" max="16384" width="8.88671875" style="6"/>
  </cols>
  <sheetData>
    <row r="1" spans="1:7" x14ac:dyDescent="0.3">
      <c r="A1" s="1" t="s">
        <v>0</v>
      </c>
      <c r="B1" s="4" t="s">
        <v>29</v>
      </c>
      <c r="C1" s="4" t="s">
        <v>30</v>
      </c>
      <c r="D1" t="s">
        <v>66</v>
      </c>
      <c r="E1" t="s">
        <v>67</v>
      </c>
      <c r="F1" t="s">
        <v>68</v>
      </c>
      <c r="G1" t="s">
        <v>31</v>
      </c>
    </row>
  </sheetData>
  <phoneticPr fontId="1" type="noConversion"/>
  <dataValidations count="2">
    <dataValidation type="list" allowBlank="1" showInputMessage="1" showErrorMessage="1" sqref="D2:F1000" xr:uid="{FF61F80C-5E23-45D6-B39D-7C5635258115}">
      <formula1>"Circular Saw, Drill, Sander, Grinder, Other"</formula1>
    </dataValidation>
    <dataValidation type="list" allowBlank="1" showInputMessage="1" showErrorMessage="1" sqref="G2:G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29</v>
      </c>
      <c r="C1" s="4" t="s">
        <v>30</v>
      </c>
      <c r="D1" t="s">
        <v>8</v>
      </c>
      <c r="E1" s="10" t="s">
        <v>32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J1"/>
  <sheetViews>
    <sheetView topLeftCell="D1" workbookViewId="0">
      <selection activeCell="J6" sqref="J6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9" customWidth="1"/>
    <col min="7" max="7" width="14.109375" style="9" customWidth="1"/>
    <col min="8" max="8" width="10.44140625" style="3" customWidth="1"/>
    <col min="9" max="9" width="22.6640625" style="3" bestFit="1" customWidth="1"/>
    <col min="10" max="10" width="46.6640625" style="2" customWidth="1"/>
    <col min="11" max="16384" width="8.88671875" style="6"/>
  </cols>
  <sheetData>
    <row r="1" spans="1:10" x14ac:dyDescent="0.3">
      <c r="A1" s="1" t="s">
        <v>0</v>
      </c>
      <c r="B1" s="4" t="s">
        <v>7</v>
      </c>
      <c r="C1" s="4" t="s">
        <v>33</v>
      </c>
      <c r="D1" s="4" t="s">
        <v>8</v>
      </c>
      <c r="E1" s="4" t="s">
        <v>34</v>
      </c>
      <c r="F1" s="10" t="s">
        <v>35</v>
      </c>
      <c r="G1" s="10" t="s">
        <v>36</v>
      </c>
      <c r="H1" s="5" t="s">
        <v>37</v>
      </c>
      <c r="I1" s="5" t="s">
        <v>69</v>
      </c>
      <c r="J1" s="4" t="s">
        <v>38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39</v>
      </c>
      <c r="C1" s="4" t="s">
        <v>40</v>
      </c>
      <c r="D1" s="4" t="s">
        <v>41</v>
      </c>
      <c r="E1" s="8" t="s">
        <v>42</v>
      </c>
      <c r="F1" s="5" t="s">
        <v>43</v>
      </c>
      <c r="G1" s="4" t="s">
        <v>44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abSelected="1" workbookViewId="0">
      <selection activeCell="G1" sqref="G1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61</v>
      </c>
      <c r="C1" s="4" t="s">
        <v>62</v>
      </c>
      <c r="D1" s="4" t="s">
        <v>46</v>
      </c>
      <c r="E1" s="4" t="s">
        <v>45</v>
      </c>
      <c r="F1" s="4" t="s">
        <v>60</v>
      </c>
      <c r="G1" s="4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2026-03-13T01:21:36Z</dcterms:modified>
  <cp:category/>
  <cp:contentStatus/>
</cp:coreProperties>
</file>