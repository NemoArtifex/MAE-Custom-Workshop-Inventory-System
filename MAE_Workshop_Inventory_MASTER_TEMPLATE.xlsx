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189" documentId="13_ncr:1_{18ABDE8C-9C4E-4F00-B2FF-E4877FFDD8CD}" xr6:coauthVersionLast="47" xr6:coauthVersionMax="47" xr10:uidLastSave="{6DB353D7-7193-4945-BA61-3065EF62EC00}"/>
  <bookViews>
    <workbookView xWindow="1452" yWindow="336" windowWidth="20508" windowHeight="11904" firstSheet="6" activeTab="9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definedNames>
    <definedName name="MasterLocationList">Location[Location_ID]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7" l="1" a="1"/>
  <c r="K2" i="7" s="1"/>
  <c r="G2" i="1" s="1"/>
  <c r="L2" i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E2" i="1"/>
  <c r="D2" i="1"/>
  <c r="I2" i="1" a="1"/>
  <c r="I2" i="1" s="1"/>
  <c r="C2" i="1"/>
  <c r="E5" i="10"/>
  <c r="J2" i="2"/>
  <c r="B2" i="1" s="1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<sst xmlns="http://schemas.openxmlformats.org/spreadsheetml/2006/main" count="136" uniqueCount="100">
  <si>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</si>
  <si>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</si>
  <si>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</si>
  <si>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</si>
  <si>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</si>
  <si>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</si>
  <si>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</si>
  <si>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</si>
  <si>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</si>
  <si>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</si>
  <si>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</si>
  <si>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</si>
  <si>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</si>
  <si>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</si>
  <si>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</si>
  <si>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</si>
  <si>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</si>
  <si>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</si>
  <si>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</si>
  <si>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</si>
  <si>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</si>
  <si>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Condition</t>
  </si>
  <si>
    <t>Quantity</t>
  </si>
  <si>
    <t>Unit of Measure</t>
  </si>
  <si>
    <t>Current Stock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</si>
  <si>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</si>
  <si>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</si>
  <si>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</si>
  <si>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</si>
  <si>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</si>
  <si>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</si>
  <si>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</si>
  <si>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</si>
  <si>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</si>
  <si>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</si>
  <si>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</si>
  <si>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</si>
  <si>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</si>
  <si>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</si>
  <si>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</si>
  <si>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</si>
  <si>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</si>
  <si>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</si>
  <si>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</si>
  <si>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</si>
  <si>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</si>
  <si>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</si>
  <si>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</si>
  <si>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</si>
  <si>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</si>
  <si>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</si>
  <si>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</si>
  <si>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</si>
  <si>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</si>
  <si>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</si>
  <si>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</si>
  <si>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</si>
  <si>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</si>
  <si>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</si>
  <si>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</si>
  <si>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</si>
  <si>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</si>
  <si>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</si>
  <si>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</si>
  <si>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</si>
  <si>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</si>
  <si>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</si>
  <si>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</si>
  <si>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</si>
  <si>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</si>
  <si>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</si>
  <si>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</si>
  <si>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</si>
  <si>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</si>
  <si>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</si>
  <si>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</si>
  <si>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</si>
  <si>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</si>
  <si>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</si>
  <si>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</si>
  <si>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</si>
  <si>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</si>
  <si>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</si>
  <si>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</si>
  <si>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</si>
  <si>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</si>
  <si>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</si>
  <si>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Sold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</si>
  <si>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</si>
  <si>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</si>
  <si>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</si>
  <si>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</si>
  <si>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</si>
  <si>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</si>
  <si>
    <t>Tag_ID</t>
  </si>
  <si>
    <t>TBD</t>
  </si>
  <si>
    <t>To Be Determined</t>
  </si>
  <si>
    <t>[Placeholder]</t>
  </si>
  <si>
    <t>[To Be Determined]</t>
  </si>
  <si>
    <t>TBD001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</si>
</sst>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128"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0" formatCode="General"/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22"/>
    <tableColumn id="2" xr3:uid="{1F5221B2-FFA0-40D9-A91A-FC8A4B03C6C2}" name="TEST String" dataDxfId="121"/>
    <tableColumn id="3" xr3:uid="{2786A104-092C-4BF4-9896-1EB64C071D4A}" name="TEST Integer" dataDxfId="120"/>
    <tableColumn id="4" xr3:uid="{B1215FF8-A5CC-415A-BE9C-30A04277BFC2}" name="TEST Currency" dataDxfId="119"/>
    <tableColumn id="5" xr3:uid="{596E6BD2-8E12-473A-9462-5B49301F9318}" name="TEST Formula" dataDxfId="118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17">
      <calculatedColumnFormula>SUM(TEST_Inventory[TEST Currency])</calculatedColumnFormula>
    </tableColumn>
    <tableColumn id="2" xr3:uid="{897E8C99-2561-458C-9F95-86F8CADD8AB6}" name="TEST Number Calc from other table" dataDxfId="116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15" dataDxfId="114">
  <autoFilter ref="A1:L2" xr:uid="{E23AAC9B-2490-4897-B1B0-35BCA496B1EC}"/>
  <tableColumns count="12">
    <tableColumn id="1" xr3:uid="{0FA08005-3EA3-40A4-B1F6-F97329C0333E}" name="mae_id" dataDxfId="113"/>
    <tableColumn id="2" xr3:uid="{9DC14395-3E47-4AD3-9478-A0A87F06E532}" name="Total Resell Investment" dataDxfId="112">
      <calculatedColumnFormula>SUM(Resell_Inventory[Total Investment])</calculatedColumnFormula>
    </tableColumn>
    <tableColumn id="3" xr3:uid="{BD093FBC-8AA5-4D1C-881C-2928F91ADF2E}" name="Total Actual Sales" dataDxfId="111">
      <calculatedColumnFormula>SUM(Resell_Inventory[Actual Sale Price])</calculatedColumnFormula>
    </tableColumn>
    <tableColumn id="8" xr3:uid="{8127FC92-B011-41A5-B229-AFBAD48CACAA}" name="Total Machinery Value" dataDxfId="110">
      <calculatedColumnFormula>SUM(Shop_Machinery[Purchase Cost])</calculatedColumnFormula>
    </tableColumn>
    <tableColumn id="9" xr3:uid="{A91267CC-638B-4A12-B7C7-5F4BB2369A54}" name="Total Power Tool Value" dataDxfId="109">
      <calculatedColumnFormula>SUM(Shop_Power_Tools[Purchase Price])</calculatedColumnFormula>
    </tableColumn>
    <tableColumn id="10" xr3:uid="{74988749-A386-4C80-9863-6BDF471B0985}" name="Total Hand Tool Value" dataDxfId="108">
      <calculatedColumnFormula>SUM(Shop_Hand_Tools[Purchase Price])</calculatedColumnFormula>
    </tableColumn>
    <tableColumn id="11" xr3:uid="{45ADA20D-C061-46B8-BB93-1E9FFDB98DBC}" name="Total Consumables Value" dataDxfId="107">
      <calculatedColumnFormula>SUM(Shop_Consumables[Current Inventory Value])</calculatedColumnFormula>
    </tableColumn>
    <tableColumn id="4" xr3:uid="{FF13FE4A-758B-454A-B440-546DF0DC594D}" name="Total Shop Asset Value" dataDxfId="106">
      <calculatedColumnFormula>SUM(D2,E2,F2,G2)</calculatedColumnFormula>
    </tableColumn>
    <tableColumn id="5" xr3:uid="{7A74BF46-8BED-4B91-99D0-B278CC6F7AEC}" name="Low Stock Items Count" dataDxfId="105">
      <calculatedColumnFormula array="1">SUMPRODUCT(--(Shop_Consumables[Current Stock]&lt;=Shop_Consumables[Reorder Point]))</calculatedColumnFormula>
    </tableColumn>
    <tableColumn id="7" xr3:uid="{F48C34D4-1ECB-427E-9CA9-378ABA1B3979}" name="Total Amount Due Next 30 Days" dataDxfId="104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103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>
      <calculatedColumnFormula>COUNTIFS(Maintenance_Log[Next Service Date], "&lt;="&amp;TODAY()+30, Maintenance_Log[Complete],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102"/>
    <tableColumn id="2" xr3:uid="{FE0F7616-EAF3-443D-AC69-DE6541DC10E5}" name="Annual Total" dataDxfId="101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O2" totalsRowShown="0" headerRowDxfId="100" dataDxfId="99">
  <autoFilter ref="A1:O2" xr:uid="{C0DAC3A4-C29F-4046-9A11-9992CD804FC2}"/>
  <tableColumns count="15">
    <tableColumn id="1" xr3:uid="{31EB6A75-D622-4C6B-8EF2-8277E8A807E0}" name="mae_id" dataDxfId="98"/>
    <tableColumn id="2" xr3:uid="{FE11B924-8CA4-4FDB-B876-A0F46F356DAB}" name="Asset ID" dataDxfId="97"/>
    <tableColumn id="15" xr3:uid="{D25A390C-69B5-4326-A0D4-10EB45DDE5E5}" name="Tag_ID" dataDxfId="96"/>
    <tableColumn id="12" xr3:uid="{0E775026-8B56-4554-BC18-AC94F0BDF20B}" name="Location_ID" dataDxfId="95"/>
    <tableColumn id="3" xr3:uid="{F0848A0C-E009-47A8-9BE0-A358BFD7AFCB}" name="Item Name" dataDxfId="94"/>
    <tableColumn id="4" xr3:uid="{8A489BED-384E-4862-A8F1-BED75945CC4B}" name="Category" dataDxfId="93"/>
    <tableColumn id="5" xr3:uid="{79CCD507-3486-45B8-B1D7-DE959429BBF9}" name="Acquisition Date" dataDxfId="92"/>
    <tableColumn id="6" xr3:uid="{563DF2E7-2105-4612-A389-66D5F1AEDDF9}" name="Purchase Price" dataDxfId="91"/>
    <tableColumn id="7" xr3:uid="{FDBBAA67-6187-4328-A88E-15A2886AD21A}" name="Restoration Cost" dataDxfId="90"/>
    <tableColumn id="8" xr3:uid="{D8774B66-8C20-45C5-AA6A-345E630152B8}" name="Total Investment" dataDxfId="89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88"/>
    <tableColumn id="10" xr3:uid="{85695CF1-6906-4EBD-AC4D-EF944B62766A}" name="Target Sale Price" dataDxfId="87"/>
    <tableColumn id="11" xr3:uid="{F63E0332-DE71-48C1-8BAE-52EDD7B233C7}" name="Actual Sale Price" dataDxfId="86"/>
    <tableColumn id="14" xr3:uid="{BD7B1CE6-805E-44CC-9E90-B0E0159F46F5}" name="Location" dataDxfId="85"/>
    <tableColumn id="16" xr3:uid="{CA8F9851-44B9-4614-9963-24D4EC145034}" name="Sold" dataDxfId="8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83" dataDxfId="82">
  <autoFilter ref="A1:K2" xr:uid="{7851396C-069E-4DB6-B1D4-8332D0E308D8}"/>
  <tableColumns count="11">
    <tableColumn id="1" xr3:uid="{4BF4F34A-34E8-41F1-92A8-4DEC12050AE4}" name="mae_id" dataDxfId="81"/>
    <tableColumn id="2" xr3:uid="{D22F095D-654C-42BE-A88E-204282C3AC59}" name="Asset ID" dataDxfId="80"/>
    <tableColumn id="4" xr3:uid="{17EB0B09-11B3-4E08-9442-E3C9AB87A157}" name="Tag_ID" dataDxfId="79"/>
    <tableColumn id="11" xr3:uid="{A87C02EA-516D-41DC-8958-0A24FBEA5139}" name="Location_ID" dataDxfId="78"/>
    <tableColumn id="3" xr3:uid="{16C5F583-C3B4-49E4-BA38-E0F53D0CFD24}" name="Machine Name/Brand/Model" dataDxfId="77"/>
    <tableColumn id="5" xr3:uid="{635BBD6A-77A8-4D20-9604-D9224474672C}" name="Serial Number" dataDxfId="76"/>
    <tableColumn id="6" xr3:uid="{E313FD7A-F612-42AE-85A6-8693FFF5D72E}" name="Purchase Date" dataDxfId="75"/>
    <tableColumn id="7" xr3:uid="{5640579F-F227-4CF7-B821-9107014DE941}" name="Purchase Cost" dataDxfId="74"/>
    <tableColumn id="8" xr3:uid="{F332B8F1-9F04-43B0-BD71-656F6F526EC5}" name="Location" dataDxfId="73"/>
    <tableColumn id="9" xr3:uid="{4845845F-E747-418E-9E07-D7130AC62B65}" name="Condition" dataDxfId="72"/>
    <tableColumn id="10" xr3:uid="{5A32000B-4543-43EE-ABB7-FB941F3116BD}" name="Manual Link/Other Info" dataDxfId="7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70" dataDxfId="69">
  <autoFilter ref="A1:K2" xr:uid="{4F48D65F-395D-4E16-BB60-D764CB43F7DA}"/>
  <tableColumns count="11">
    <tableColumn id="1" xr3:uid="{89DC1EFB-4874-484F-8A54-71D285209A36}" name="mae_id" dataDxfId="68"/>
    <tableColumn id="2" xr3:uid="{E9B83024-3108-49FE-BABC-CFF148D740E1}" name="Log ID" dataDxfId="67"/>
    <tableColumn id="3" xr3:uid="{3475773D-2245-4156-9F88-ED7AE0C20402}" name="Asset ID" dataDxfId="66"/>
    <tableColumn id="10" xr3:uid="{CE8F9225-208D-4395-B2DF-2A6CBB978A83}" name="Asset and Service Description" dataDxfId="65"/>
    <tableColumn id="4" xr3:uid="{2C9C0290-D9A7-42F8-BE3E-7F3F40E5A31F}" name="Service Date" dataDxfId="64"/>
    <tableColumn id="5" xr3:uid="{96FAFE7C-F67A-4F71-AD8A-97B41A62C852}" name="Service Type" dataDxfId="63"/>
    <tableColumn id="6" xr3:uid="{4C05311A-4D79-4E1B-9C84-A70DDD428604}" name="Performed By" dataDxfId="62"/>
    <tableColumn id="7" xr3:uid="{42638730-F8E7-4618-B878-1C695760484E}" name="Cost" dataDxfId="61"/>
    <tableColumn id="8" xr3:uid="{3F292746-268F-4EF2-B0BF-D9E17CC16858}" name="Next Service Date" dataDxfId="60"/>
    <tableColumn id="11" xr3:uid="{4809319D-ABCA-43DA-A400-5DC91167D78B}" name="Complete" dataDxfId="59"/>
    <tableColumn id="12" xr3:uid="{920CB592-D743-4B33-A796-C7F3DB32211C}" name="Remarks" dataDxfId="5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K2" totalsRowShown="0" headerRowDxfId="57" dataDxfId="56">
  <autoFilter ref="A1:K2" xr:uid="{B256D0AD-5808-43AD-9729-C30859C8E0E2}"/>
  <tableColumns count="11">
    <tableColumn id="1" xr3:uid="{14D3C0F3-786E-4D59-8EBE-4E8ECDF77355}" name="mae_id" dataDxfId="55"/>
    <tableColumn id="2" xr3:uid="{169523C9-3198-448C-A108-CBA0222ED119}" name="Asset_ID" dataDxfId="54"/>
    <tableColumn id="11" xr3:uid="{21951C81-00A4-4344-9E81-B1B1DB06ADEF}" name="Tag_ID" dataDxfId="53"/>
    <tableColumn id="6" xr3:uid="{713E4785-F162-4507-8CEC-58D1900A8AB6}" name="Location_ID" dataDxfId="52"/>
    <tableColumn id="3" xr3:uid="{864AFF0F-A6FF-4703-9283-093CABA0AB94}" name="Tool Name/Brand/Model" dataDxfId="51"/>
    <tableColumn id="9" xr3:uid="{DC8BF91E-CE6C-4B37-88B8-9D97E3E9201C}" name="Purchase Price" dataDxfId="50"/>
    <tableColumn id="4" xr3:uid="{33A9C397-237A-43D3-A581-5DA7BEC5BEAE}" name="Functional Category" dataDxfId="49"/>
    <tableColumn id="7" xr3:uid="{4343A0FC-A88F-4191-8D18-BC86509BFBFF}" name="Operational Category" dataDxfId="48"/>
    <tableColumn id="8" xr3:uid="{DE84C9AE-3DAD-4522-AFC2-61396BA01671}" name="Power Source" dataDxfId="47"/>
    <tableColumn id="5" xr3:uid="{5416B904-9CBE-4604-9D84-C743A1D623A9}" name="Condition" dataDxfId="46"/>
    <tableColumn id="10" xr3:uid="{26197E01-2936-4F5F-8081-3AA351C1CD38}" name="Remarks" dataDxfId="4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J2" totalsRowShown="0" headerRowDxfId="44" dataDxfId="43">
  <autoFilter ref="A1:J2" xr:uid="{FA38DE34-8744-4C90-AB61-00EF0F13B199}"/>
  <tableColumns count="10">
    <tableColumn id="1" xr3:uid="{2B19855D-9BAD-44E0-A316-C1FF95F743CC}" name="mae_id" dataDxfId="42"/>
    <tableColumn id="2" xr3:uid="{679266D2-6F7C-4AA6-A692-6DC107A45D4D}" name="Asset_ID" dataDxfId="41"/>
    <tableColumn id="10" xr3:uid="{C8BD69AA-9023-4777-9C96-39A81F1E4BE0}" name="Tag_ID" dataDxfId="40"/>
    <tableColumn id="7" xr3:uid="{644102FD-D33A-4A70-A829-7ECBDAD17954}" name="Location_ID" dataDxfId="39"/>
    <tableColumn id="3" xr3:uid="{69442715-C75E-4B47-9564-7C3C4A1F6DAA}" name="Tool Name/Brand/Model/Description" dataDxfId="38"/>
    <tableColumn id="6" xr3:uid="{FEE72CB9-B490-4E03-9BBA-F46847223551}" name="Purchase Price" dataDxfId="37"/>
    <tableColumn id="4" xr3:uid="{A8D20E4D-22EA-421D-82C7-3A077CDA19E8}" name="Category" dataDxfId="36"/>
    <tableColumn id="8" xr3:uid="{080EB12A-CA17-4337-B46C-53DEAA3B2327}" name="Condition" dataDxfId="35"/>
    <tableColumn id="5" xr3:uid="{F2705B4D-CE08-40AB-8854-3954BE8800AA}" name="Quantity" dataDxfId="34"/>
    <tableColumn id="9" xr3:uid="{2B57F5E6-66C5-4DBA-8949-836DE0F0791C}" name="Remarks" dataDxfId="3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L2" totalsRowShown="0" headerRowDxfId="32" dataDxfId="31">
  <autoFilter ref="A1:L2" xr:uid="{212D9CF8-0BB2-4891-BFC6-736775F62E4D}"/>
  <tableColumns count="12">
    <tableColumn id="1" xr3:uid="{43C4A9D4-2E17-4D62-8C0D-8DEDF0B4423A}" name="mae_id" dataDxfId="30"/>
    <tableColumn id="3" xr3:uid="{93700212-1764-4626-B112-F202F0AA0AAB}" name="Asset_ID" dataDxfId="29"/>
    <tableColumn id="12" xr3:uid="{8F0FD29C-682B-41B4-82F2-913D40801887}" name="Tag_ID" dataDxfId="28"/>
    <tableColumn id="11" xr3:uid="{511966F0-606F-407D-B09E-02F31902094D}" name="Location_ID" dataDxfId="27"/>
    <tableColumn id="2" xr3:uid="{89FEB2D0-FBCD-4BE1-84C9-99FC556BBA41}" name="Item Name" dataDxfId="26"/>
    <tableColumn id="9" xr3:uid="{3CECC6F9-9090-442B-A1A1-8A7961DEB8AF}" name="Category" dataDxfId="25"/>
    <tableColumn id="4" xr3:uid="{BE4BDDA8-E894-4184-B2C5-A998CB44E20F}" name="Unit of Measure" dataDxfId="24"/>
    <tableColumn id="5" xr3:uid="{374E0561-27A0-4254-B830-D7E7F0E1D5AE}" name="Current Stock" dataDxfId="23"/>
    <tableColumn id="6" xr3:uid="{767749E4-A67C-4AFF-BA8F-5DBF1AF53F43}" name="Reorder Point" dataDxfId="22"/>
    <tableColumn id="7" xr3:uid="{EB68210F-A1A5-4B47-B8FB-56CB47C8487E}" name="Unit Cost" dataDxfId="21"/>
    <tableColumn id="10" xr3:uid="{AD664ABD-E878-4391-A095-B228A1F2A62D}" name="Current Inventory Value" dataDxfId="20">
      <calculatedColumnFormula array="1">IF(ISNUMBER(Shop_Consumables[[#This Row],[Current Stock]]),
    Shop_Consumables[[#This Row],[Current Stock]] * Shop_Consumables[[#This Row],[Unit Cost]],
    _xlfn.IFS(Shop_Consumables[[#This Row],[Current Stock]]="Many", 1, Shop_Consumables[[#This Row],[Current Stock]]="Adequate", 0.5, Shop_Consumables[[#This Row],[Current Stock]]="Few", 0.1, TRUE, 0) * Shop_Consumables[[#This Row],[Unit Cost]]
)</calculatedColumnFormula>
    </tableColumn>
    <tableColumn id="8" xr3:uid="{E92F90B7-BEB2-4C65-80CE-6243F77F7CC4}" name="Supplier/Remarks" dataDxfId="1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18" dataDxfId="17">
  <autoFilter ref="A1:H2" xr:uid="{D2B78E2D-D1BA-4980-AD28-7371DA7E8BF1}"/>
  <tableColumns count="8">
    <tableColumn id="1" xr3:uid="{D0403366-FF83-43D4-A4A6-53D956BB53D5}" name="mae_id" dataDxfId="16"/>
    <tableColumn id="2" xr3:uid="{115FC258-36AA-4A2D-895A-FE4B5FFF6B06}" name="Expense Category" dataDxfId="15"/>
    <tableColumn id="3" xr3:uid="{4B114529-F91B-482E-9657-3D4FA758474D}" name="Description" dataDxfId="14"/>
    <tableColumn id="4" xr3:uid="{F8FB0744-346B-4B81-82DA-5BADEC284B94}" name="Payment Frequency" dataDxfId="13"/>
    <tableColumn id="5" xr3:uid="{D172DF65-3EB9-4C6D-9AB1-AF943A035CF4}" name="Due Date" dataDxfId="12"/>
    <tableColumn id="6" xr3:uid="{B1E060DC-CDE4-40B3-9DE0-440A66FD2817}" name="Amount" dataDxfId="11"/>
    <tableColumn id="7" xr3:uid="{BE283BC1-242E-4333-BF81-EBC4F9B2483D}" name="Auto-Pay?" dataDxfId="10"/>
    <tableColumn id="8" xr3:uid="{9140C4E8-CB9E-40BF-ABD9-13A971322B09}" name="Remarks" dataDxfId="9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8" dataDxfId="7">
  <autoFilter ref="A1:G2" xr:uid="{4D5A2D88-6FFF-49FE-93CF-46B9225A62FF}"/>
  <tableColumns count="7">
    <tableColumn id="1" xr3:uid="{B1057331-F99D-4824-9EC8-9800B5256BF6}" name="mae_id" dataDxfId="6"/>
    <tableColumn id="11" xr3:uid="{B56AF81F-63CB-4874-A9B8-B76E4D91E239}" name="Supplier Name" dataDxfId="5"/>
    <tableColumn id="2" xr3:uid="{6D90D0F5-8F28-4725-BF13-0A57A9536E58}" name="Contact Person" dataDxfId="4"/>
    <tableColumn id="10" xr3:uid="{DBCEF9D0-078A-4536-BA57-A5D99D4510DF}" name="Phone" dataDxfId="3"/>
    <tableColumn id="6" xr3:uid="{2D53D9C2-51E7-4946-A506-A47B54EDDA21}" name="Email" dataDxfId="2"/>
    <tableColumn id="12" xr3:uid="{A82FB354-D6D5-4ECA-B820-0C76DC34EF4D}" name="Website" dataDxfId="1"/>
    <tableColumn id="9" xr3:uid="{48CFB17A-2B61-479C-A6CF-4AC3020D2F09}" name="Notes/Other Info" dataDxfId="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totalsRowShown="0">
  <autoFilter ref="A1:E2" xr:uid="{2ADC87F2-BD10-435C-9D45-DD8DB7DB1902}"/>
  <tableColumns count="5">
    <tableColumn id="1" xr3:uid="{D3C21C14-3B5F-4EBE-B777-F96EFD0A6C91}" name="mae_id" dataDxfId="127"/>
    <tableColumn id="2" xr3:uid="{7E953E1D-BE2C-4F7F-AAE5-06F3EDBC1067}" name="Location_ID" dataDxfId="126"/>
    <tableColumn id="3" xr3:uid="{60368768-3E0A-4CA0-8B3A-F230D9D220C2}" name="Description" dataDxfId="125"/>
    <tableColumn id="4" xr3:uid="{2569BB68-2F34-48DF-B4D9-298E8FFAD0B9}" name="Type" dataDxfId="124"/>
    <tableColumn id="5" xr3:uid="{C3AEC2FA-3915-4BA0-84FD-35E285F83E09}" name="Parent_Location" dataDxfId="1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>
      <c r="A1" s="1" t="s">
        <v>0</v>
      </c>
      <c r="B1" s="4" t="s">
        <v>35</v>
      </c>
      <c r="C1" s="8" t="s">
        <v>36</v>
      </c>
      <c r="D1" s="5" t="s">
        <v>37</v>
      </c>
      <c r="E1" s="5" t="s">
        <v>38</v>
      </c>
      <c r="F1" t="s">
        <v>39</v>
      </c>
    </row>
    <row r="2" spans="1:6">
      <c r="B2" s="4" t="s">
        <v>42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43</v>
      </c>
    </row>
    <row r="3" spans="1:6">
      <c r="B3" s="4" t="s">
        <v>44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45</v>
      </c>
    </row>
    <row r="4" spans="1:6">
      <c r="B4" s="4" t="s">
        <v>46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47</v>
      </c>
    </row>
    <row r="5" spans="1:6">
      <c r="B5" s="4" t="s">
        <v>62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/>
  <cols>
    <col min="1" max="1" width="24.21875" style="5" customWidth="1"/>
    <col min="2" max="2" width="31.5546875" style="8" customWidth="1"/>
  </cols>
  <sheetData>
    <row r="1" spans="1:2">
      <c r="A1" s="5" t="s">
        <v>40</v>
      </c>
      <c r="B1" s="8" t="s">
        <v>41</v>
      </c>
    </row>
    <row r="2" spans="1:2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topLeftCell="J1" workbookViewId="0">
      <pane ySplit="1" topLeftCell="A2" activePane="bottomLeft" state="frozen"/>
      <selection pane="bottomLeft" activeCell="L2" sqref="L2"/>
    </sheetView>
  </sheetViews>
  <sheetFormatPr defaultColWidth="8.88671875" defaultRowHeight="14.4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>
      <c r="A1" s="1" t="s">
        <v>0</v>
      </c>
      <c r="B1" s="5" t="s">
        <v>63</v>
      </c>
      <c r="C1" s="5" t="s">
        <v>64</v>
      </c>
      <c r="D1" s="5" t="s">
        <v>67</v>
      </c>
      <c r="E1" s="5" t="s">
        <v>68</v>
      </c>
      <c r="F1" s="5" t="s">
        <v>70</v>
      </c>
      <c r="G1" s="5" t="s">
        <v>69</v>
      </c>
      <c r="H1" s="5" t="s">
        <v>65</v>
      </c>
      <c r="I1" s="11" t="s">
        <v>66</v>
      </c>
      <c r="J1" s="5" t="s">
        <v>71</v>
      </c>
      <c r="K1" s="8" t="s">
        <v>85</v>
      </c>
      <c r="L1" s="8" t="s">
        <v>86</v>
      </c>
    </row>
    <row r="2" spans="1:12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SUMPRODUCT(--(Shop_Consumables[Current Stock]&lt;=Shop_Consumables[Reorder Point]))</f>
        <v>1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15">
        <f ca="1">COUNTIFS(Maintenance_Log[Next Service Date], "&lt;="&amp;TODAY()+30, Maintenance_Log[Complete], FALSE)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/>
  <cols>
    <col min="1" max="1" width="42.21875" style="4" customWidth="1"/>
    <col min="2" max="2" width="17.5546875" style="5" customWidth="1"/>
  </cols>
  <sheetData>
    <row r="9" spans="1:2">
      <c r="A9" s="4" t="s">
        <v>27</v>
      </c>
      <c r="B9" s="5" t="s">
        <v>72</v>
      </c>
    </row>
    <row r="10" spans="1:2">
      <c r="A10" s="2" t="s">
        <v>73</v>
      </c>
      <c r="B10" s="5">
        <f>SUMIF(Shop_Overhead[Expense Category], Overhead_Summary[[#This Row],[Expense Category]], Shop_Overhead[Amount])</f>
        <v>0</v>
      </c>
    </row>
    <row r="11" spans="1:2">
      <c r="A11" s="2" t="s">
        <v>74</v>
      </c>
      <c r="B11" s="5">
        <f>SUMIF(Shop_Overhead[Expense Category], Overhead_Summary[[#This Row],[Expense Category]], Shop_Overhead[Amount])</f>
        <v>0</v>
      </c>
    </row>
    <row r="12" spans="1:2">
      <c r="A12" s="2" t="s">
        <v>75</v>
      </c>
      <c r="B12" s="5">
        <f>SUMIF(Shop_Overhead[Expense Category], Overhead_Summary[[#This Row],[Expense Category]], Shop_Overhead[Amount])</f>
        <v>0</v>
      </c>
    </row>
    <row r="13" spans="1:2">
      <c r="A13" s="2" t="s">
        <v>76</v>
      </c>
      <c r="B13" s="5">
        <f>SUMIF(Shop_Overhead[Expense Category], Overhead_Summary[[#This Row],[Expense Category]], Shop_Overhead[Amount])</f>
        <v>0</v>
      </c>
    </row>
    <row r="14" spans="1:2">
      <c r="A14" s="2" t="s">
        <v>77</v>
      </c>
      <c r="B14" s="5">
        <f>SUMIF(Shop_Overhead[Expense Category], Overhead_Summary[[#This Row],[Expense Category]], Shop_Overhead[Amount])</f>
        <v>0</v>
      </c>
    </row>
    <row r="15" spans="1:2">
      <c r="A15" s="2" t="s">
        <v>78</v>
      </c>
      <c r="B15" s="5">
        <f>SUMIF(Shop_Overhead[Expense Category], Overhead_Summary[[#This Row],[Expense Category]], Shop_Overhead[Amount])</f>
        <v>0</v>
      </c>
    </row>
    <row r="16" spans="1:2">
      <c r="A16" s="2" t="s">
        <v>79</v>
      </c>
      <c r="B16" s="5">
        <f>SUMIF(Shop_Overhead[Expense Category], Overhead_Summary[[#This Row],[Expense Category]], Shop_Overhead[Amount])</f>
        <v>0</v>
      </c>
    </row>
    <row r="17" spans="1:2">
      <c r="A17" s="2" t="s">
        <v>80</v>
      </c>
      <c r="B17" s="5">
        <f>SUMIF(Shop_Overhead[Expense Category], Overhead_Summary[[#This Row],[Expense Category]], Shop_Overhead[Amount])</f>
        <v>0</v>
      </c>
    </row>
    <row r="18" spans="1:2">
      <c r="A18" s="2" t="s">
        <v>81</v>
      </c>
      <c r="B18" s="5">
        <f>SUMIF(Shop_Overhead[Expense Category], Overhead_Summary[[#This Row],[Expense Category]], Shop_Overhead[Amount])</f>
        <v>0</v>
      </c>
    </row>
    <row r="19" spans="1:2">
      <c r="A19" s="2" t="s">
        <v>82</v>
      </c>
      <c r="B19" s="5">
        <f>SUMIF(Shop_Overhead[Expense Category], Overhead_Summary[[#This Row],[Expense Category]], Shop_Overhead[Amount])</f>
        <v>0</v>
      </c>
    </row>
    <row r="20" spans="1:2">
      <c r="A20" s="2" t="s">
        <v>83</v>
      </c>
      <c r="B20" s="5">
        <f>SUMIF(Shop_Overhead[Expense Category], Overhead_Summary[[#This Row],[Expense Category]], Shop_Overhead[Amount])</f>
        <v>0</v>
      </c>
    </row>
    <row r="21" spans="1:2">
      <c r="A21" s="2" t="s">
        <v>84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R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88671875" bestFit="1" customWidth="1"/>
    <col min="5" max="5" width="31.44140625" style="2" customWidth="1"/>
    <col min="6" max="6" width="10.5546875" style="2" bestFit="1" customWidth="1"/>
    <col min="7" max="7" width="17" style="10" bestFit="1" customWidth="1"/>
    <col min="8" max="8" width="15.33203125" style="3" customWidth="1"/>
    <col min="9" max="9" width="16.5546875" style="3" customWidth="1"/>
    <col min="10" max="10" width="16.6640625" style="5" customWidth="1"/>
    <col min="11" max="11" width="19.109375" style="2" bestFit="1" customWidth="1"/>
    <col min="12" max="12" width="16.6640625" style="3" customWidth="1"/>
    <col min="13" max="13" width="16.88671875" style="3" customWidth="1"/>
    <col min="14" max="14" width="16.88671875" style="14" customWidth="1"/>
    <col min="16" max="16" width="12.88671875" bestFit="1" customWidth="1"/>
    <col min="17" max="17" width="16.88671875" style="6" customWidth="1"/>
    <col min="18" max="18" width="16.88671875" style="2" customWidth="1"/>
    <col min="19" max="16384" width="8.88671875" style="6"/>
  </cols>
  <sheetData>
    <row r="1" spans="1:18">
      <c r="A1" s="1" t="s">
        <v>0</v>
      </c>
      <c r="B1" s="1" t="s">
        <v>1</v>
      </c>
      <c r="C1" s="4" t="s">
        <v>94</v>
      </c>
      <c r="D1" t="s">
        <v>57</v>
      </c>
      <c r="E1" s="4" t="s">
        <v>2</v>
      </c>
      <c r="F1" s="4" t="s">
        <v>3</v>
      </c>
      <c r="G1" s="9" t="s">
        <v>4</v>
      </c>
      <c r="H1" s="5" t="s">
        <v>5</v>
      </c>
      <c r="I1" s="5" t="s">
        <v>6</v>
      </c>
      <c r="J1" s="5" t="s">
        <v>7</v>
      </c>
      <c r="K1" s="4" t="s">
        <v>8</v>
      </c>
      <c r="L1" s="5" t="s">
        <v>9</v>
      </c>
      <c r="M1" s="5" t="s">
        <v>10</v>
      </c>
      <c r="N1" s="1" t="s">
        <v>11</v>
      </c>
      <c r="O1" t="s">
        <v>87</v>
      </c>
      <c r="P1" s="6"/>
      <c r="R1" s="6"/>
    </row>
    <row r="2" spans="1:18">
      <c r="D2" s="6"/>
      <c r="J2" s="5">
        <f>Resell_Inventory[[#This Row],[Purchase Price]]+Resell_Inventory[[#This Row],[Restoration Cost]]</f>
        <v>0</v>
      </c>
      <c r="O2" s="6"/>
      <c r="P2" s="6"/>
      <c r="R2" s="6"/>
    </row>
  </sheetData>
  <dataValidations count="3">
    <dataValidation type="list" allowBlank="1" showInputMessage="1" showErrorMessage="1" sqref="K3:K1000" xr:uid="{F45414DD-76C8-4DC4-96E2-15B89FDB5B51}">
      <formula1>"work not started, restoration in progress, for sale, sold"</formula1>
    </dataValidation>
    <dataValidation type="list" allowBlank="1" showInputMessage="1" showErrorMessage="1" sqref="F2" xr:uid="{C1AA0387-29B3-4797-A152-88A8C024D825}">
      <formula1>"Machinery, Furniture, Electronics, Craft, Auto Related, Other"</formula1>
    </dataValidation>
    <dataValidation type="list" allowBlank="1" showInputMessage="1" showErrorMessage="1" sqref="K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L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33203125" style="6" customWidth="1"/>
    <col min="5" max="5" width="28.6640625" style="2" customWidth="1"/>
    <col min="6" max="6" width="14.88671875" style="2" customWidth="1"/>
    <col min="7" max="7" width="14.6640625" style="10" customWidth="1"/>
    <col min="8" max="8" width="14.6640625" style="3" customWidth="1"/>
    <col min="9" max="9" width="12.33203125" style="14" customWidth="1"/>
    <col min="11" max="11" width="11.44140625" style="6" customWidth="1"/>
    <col min="12" max="12" width="32.6640625" style="2" customWidth="1"/>
    <col min="13" max="16384" width="8.88671875" style="6"/>
  </cols>
  <sheetData>
    <row r="1" spans="1:12">
      <c r="A1" s="1" t="s">
        <v>0</v>
      </c>
      <c r="B1" s="1" t="s">
        <v>1</v>
      </c>
      <c r="C1" s="4" t="s">
        <v>94</v>
      </c>
      <c r="D1" t="s">
        <v>57</v>
      </c>
      <c r="E1" s="4" t="s">
        <v>88</v>
      </c>
      <c r="F1" s="4" t="s">
        <v>12</v>
      </c>
      <c r="G1" s="9" t="s">
        <v>13</v>
      </c>
      <c r="H1" s="5" t="s">
        <v>14</v>
      </c>
      <c r="I1" s="1" t="s">
        <v>11</v>
      </c>
      <c r="J1" t="s">
        <v>21</v>
      </c>
      <c r="K1" s="4" t="s">
        <v>52</v>
      </c>
      <c r="L1" s="6"/>
    </row>
    <row r="2" spans="1:12">
      <c r="J2" s="6"/>
      <c r="K2" s="2"/>
      <c r="L2" s="6"/>
    </row>
  </sheetData>
  <dataValidations count="2">
    <dataValidation type="list" allowBlank="1" showInputMessage="1" showErrorMessage="1" sqref="K3:K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M2"/>
  <sheetViews>
    <sheetView topLeftCell="E1" workbookViewId="0">
      <selection activeCell="K1" sqref="K1:K1048576"/>
    </sheetView>
  </sheetViews>
  <sheetFormatPr defaultColWidth="8.88671875" defaultRowHeight="14.4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9" bestFit="1" customWidth="1"/>
    <col min="10" max="10" width="11.44140625" bestFit="1" customWidth="1"/>
    <col min="11" max="11" width="18" style="2" bestFit="1" customWidth="1"/>
    <col min="12" max="12" width="13.44140625" style="2" customWidth="1"/>
    <col min="13" max="13" width="9.88671875" style="3" customWidth="1"/>
    <col min="14" max="16384" width="8.88671875" style="6"/>
  </cols>
  <sheetData>
    <row r="1" spans="1:13">
      <c r="A1" s="1" t="s">
        <v>0</v>
      </c>
      <c r="B1" s="1" t="s">
        <v>15</v>
      </c>
      <c r="C1" s="1" t="s">
        <v>1</v>
      </c>
      <c r="D1" s="4" t="s">
        <v>60</v>
      </c>
      <c r="E1" s="9" t="s">
        <v>16</v>
      </c>
      <c r="F1" t="s">
        <v>17</v>
      </c>
      <c r="G1" t="s">
        <v>18</v>
      </c>
      <c r="H1" s="5" t="s">
        <v>19</v>
      </c>
      <c r="I1" s="9" t="s">
        <v>20</v>
      </c>
      <c r="J1" t="s">
        <v>89</v>
      </c>
      <c r="K1" s="4" t="s">
        <v>90</v>
      </c>
      <c r="L1" s="6"/>
      <c r="M1" s="6"/>
    </row>
    <row r="2" spans="1:13">
      <c r="I2" s="10"/>
      <c r="J2" s="6"/>
      <c r="L2" s="6"/>
      <c r="M2" s="6"/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M2"/>
  <sheetViews>
    <sheetView topLeftCell="B1"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8.6640625" style="14" customWidth="1"/>
    <col min="3" max="3" width="8.6640625" style="2" customWidth="1"/>
    <col min="4" max="4" width="12.88671875" style="6" bestFit="1" customWidth="1"/>
    <col min="5" max="5" width="50.44140625" style="2" customWidth="1"/>
    <col min="6" max="6" width="15.6640625" style="3" bestFit="1" customWidth="1"/>
    <col min="8" max="8" width="19.88671875" style="6" bestFit="1" customWidth="1"/>
    <col min="9" max="9" width="19.88671875" style="6" customWidth="1"/>
    <col min="10" max="10" width="14.44140625" style="6" bestFit="1" customWidth="1"/>
    <col min="11" max="11" width="11.33203125" bestFit="1" customWidth="1"/>
    <col min="12" max="12" width="13.5546875" style="6" customWidth="1"/>
    <col min="13" max="13" width="14.44140625" style="2" customWidth="1"/>
    <col min="14" max="16384" width="8.88671875" style="6"/>
  </cols>
  <sheetData>
    <row r="1" spans="1:13">
      <c r="A1" s="1" t="s">
        <v>0</v>
      </c>
      <c r="B1" s="1" t="s">
        <v>61</v>
      </c>
      <c r="C1" s="4" t="s">
        <v>94</v>
      </c>
      <c r="D1" t="s">
        <v>57</v>
      </c>
      <c r="E1" s="4" t="s">
        <v>91</v>
      </c>
      <c r="F1" s="5" t="s">
        <v>5</v>
      </c>
      <c r="G1" t="s">
        <v>53</v>
      </c>
      <c r="H1" t="s">
        <v>54</v>
      </c>
      <c r="I1" t="s">
        <v>55</v>
      </c>
      <c r="J1" t="s">
        <v>21</v>
      </c>
      <c r="K1" s="4" t="s">
        <v>90</v>
      </c>
      <c r="M1" s="6"/>
    </row>
    <row r="2" spans="1:13">
      <c r="G2" s="6"/>
      <c r="K2" s="2"/>
      <c r="M2" s="6"/>
    </row>
  </sheetData>
  <phoneticPr fontId="1" type="noConversion"/>
  <dataValidations count="6">
    <dataValidation type="list" allowBlank="1" showInputMessage="1" showErrorMessage="1" sqref="M3:M1000 H3:J1000" xr:uid="{FF61F80C-5E23-45D6-B39D-7C5635258115}">
      <formula1>"Circular Saw, Drill, Sander, Grinder, Other"</formula1>
    </dataValidation>
    <dataValidation type="list" allowBlank="1" showInputMessage="1" showErrorMessage="1" sqref="L3:M1000" xr:uid="{DB752B4D-0E75-42D1-B907-2DBC5792F422}">
      <formula1>"New, Operational, Needs Repair, Broken"</formula1>
    </dataValidation>
    <dataValidation type="list" allowBlank="1" showInputMessage="1" showErrorMessage="1" sqref="G2" xr:uid="{05EFC744-2B0C-453D-A1B6-F8391608434D}">
      <formula1>"Drilling, Cutting, Grinding, Sanding, Fastening, Shaping/Routing, Other"</formula1>
    </dataValidation>
    <dataValidation type="list" allowBlank="1" showInputMessage="1" showErrorMessage="1" sqref="H2" xr:uid="{194EFB2B-690A-4D50-8AF6-E8ED45FE2FCA}">
      <formula1>"Portable/Handheld, Stationary/Bench Top, Outdoor Power Equipment, "</formula1>
    </dataValidation>
    <dataValidation type="list" allowBlank="1" showInputMessage="1" showErrorMessage="1" sqref="J2:K2" xr:uid="{980AB122-9104-490B-993D-4F2FEF3A4EE6}">
      <formula1>"Operational, Needs Repair, Repair In-Progress, Unusable/Junk"</formula1>
    </dataValidation>
    <dataValidation type="list" allowBlank="1" showInputMessage="1" showErrorMessage="1" sqref="I2 K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L2"/>
  <sheetViews>
    <sheetView topLeftCell="E1" workbookViewId="0">
      <selection activeCell="C1" sqref="C1:C1048576"/>
    </sheetView>
  </sheetViews>
  <sheetFormatPr defaultColWidth="8.88671875" defaultRowHeight="14.4"/>
  <cols>
    <col min="1" max="1" width="9.33203125" style="1" bestFit="1" customWidth="1"/>
    <col min="2" max="2" width="8.6640625" style="14" bestFit="1" customWidth="1"/>
    <col min="3" max="3" width="8.6640625" style="2" customWidth="1"/>
    <col min="4" max="4" width="12.88671875" style="6" bestFit="1" customWidth="1"/>
    <col min="5" max="5" width="54.6640625" style="2" customWidth="1"/>
    <col min="6" max="6" width="15.6640625" style="3" bestFit="1" customWidth="1"/>
    <col min="7" max="7" width="10.5546875" style="6" bestFit="1" customWidth="1"/>
    <col min="9" max="9" width="12.88671875" style="6" customWidth="1"/>
    <col min="10" max="10" width="10.33203125" style="4" bestFit="1" customWidth="1"/>
    <col min="11" max="11" width="16.33203125" style="7" customWidth="1"/>
    <col min="12" max="12" width="12.88671875" style="2" customWidth="1"/>
    <col min="13" max="16384" width="8.88671875" style="6"/>
  </cols>
  <sheetData>
    <row r="1" spans="1:12">
      <c r="A1" s="1" t="s">
        <v>0</v>
      </c>
      <c r="B1" s="1" t="s">
        <v>61</v>
      </c>
      <c r="C1" s="4" t="s">
        <v>94</v>
      </c>
      <c r="D1" t="s">
        <v>57</v>
      </c>
      <c r="E1" s="4" t="s">
        <v>92</v>
      </c>
      <c r="F1" s="5" t="s">
        <v>5</v>
      </c>
      <c r="G1" t="s">
        <v>3</v>
      </c>
      <c r="H1" t="s">
        <v>21</v>
      </c>
      <c r="I1" t="s">
        <v>22</v>
      </c>
      <c r="J1" s="4" t="s">
        <v>90</v>
      </c>
      <c r="K1" s="6"/>
      <c r="L1" s="6"/>
    </row>
    <row r="2" spans="1:12">
      <c r="H2" s="6"/>
      <c r="J2" s="2"/>
      <c r="K2" s="6"/>
      <c r="L2" s="6"/>
    </row>
  </sheetData>
  <dataValidations count="3">
    <dataValidation type="list" allowBlank="1" showInputMessage="1" showErrorMessage="1" sqref="L3:L1000 D3:D1000 G3:G1000 I3:I1000" xr:uid="{B6CB3C84-EE01-4878-B558-650FC19D8248}">
      <formula1>"Saw, Hammer, Screwdriver, Wrench, Sockets, Pliers, Measuring, Files, Other"</formula1>
    </dataValidation>
    <dataValidation type="list" allowBlank="1" showInputMessage="1" showErrorMessage="1" sqref="G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H2 J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N2"/>
  <sheetViews>
    <sheetView tabSelected="1" topLeftCell="D1" workbookViewId="0">
      <selection activeCell="K2" sqref="K2"/>
    </sheetView>
  </sheetViews>
  <sheetFormatPr defaultColWidth="8.88671875" defaultRowHeight="14.4"/>
  <cols>
    <col min="1" max="1" width="9" style="1" customWidth="1"/>
    <col min="2" max="2" width="10.33203125" style="14" bestFit="1" customWidth="1"/>
    <col min="3" max="3" width="10.33203125" style="2" customWidth="1"/>
    <col min="4" max="4" width="22.6640625" style="6" bestFit="1" customWidth="1"/>
    <col min="5" max="5" width="41.6640625" style="2" customWidth="1"/>
    <col min="7" max="7" width="18.44140625" style="2" customWidth="1"/>
    <col min="8" max="8" width="15.5546875" style="2" customWidth="1"/>
    <col min="9" max="9" width="14.33203125" style="7" customWidth="1"/>
    <col min="10" max="10" width="14.109375" style="7" customWidth="1"/>
    <col min="11" max="11" width="10.44140625" style="3" customWidth="1"/>
    <col min="13" max="13" width="22.6640625" style="2" customWidth="1"/>
    <col min="14" max="14" width="46.6640625" style="2" customWidth="1"/>
    <col min="15" max="16384" width="8.88671875" style="6"/>
  </cols>
  <sheetData>
    <row r="1" spans="1:14">
      <c r="A1" s="1" t="s">
        <v>0</v>
      </c>
      <c r="B1" s="1" t="s">
        <v>61</v>
      </c>
      <c r="C1" s="4" t="s">
        <v>94</v>
      </c>
      <c r="D1" t="s">
        <v>57</v>
      </c>
      <c r="E1" s="4" t="s">
        <v>2</v>
      </c>
      <c r="F1" s="4" t="s">
        <v>3</v>
      </c>
      <c r="G1" s="4" t="s">
        <v>23</v>
      </c>
      <c r="H1" s="8" t="s">
        <v>24</v>
      </c>
      <c r="I1" s="8" t="s">
        <v>25</v>
      </c>
      <c r="J1" s="5" t="s">
        <v>26</v>
      </c>
      <c r="K1" s="5" t="s">
        <v>56</v>
      </c>
      <c r="L1" s="4" t="s">
        <v>93</v>
      </c>
      <c r="M1" s="6"/>
      <c r="N1" s="6"/>
    </row>
    <row r="2" spans="1:14">
      <c r="F2" s="2"/>
      <c r="H2" s="7"/>
      <c r="J2" s="3"/>
      <c r="K2" s="3" cm="1">
        <f t="array" ref="K2">IF(ISNUMBER(Shop_Consumables[[#This Row],[Current Stock]]),
    Shop_Consumables[[#This Row],[Current Stock]] * Shop_Consumables[[#This Row],[Unit Cost]],
    _xlfn.IFS(Shop_Consumables[[#This Row],[Current Stock]]="Many", 1, Shop_Consumables[[#This Row],[Current Stock]]="Adequate", 0.5, Shop_Consumables[[#This Row],[Current Stock]]="Few", 0.1, TRUE, 0) * Shop_Consumables[[#This Row],[Unit Cost]]
)</f>
        <v>0</v>
      </c>
      <c r="L2" s="2"/>
      <c r="M2" s="6"/>
      <c r="N2" s="6"/>
    </row>
  </sheetData>
  <dataValidations disablePrompts="1" count="1">
    <dataValidation type="list" allowBlank="1" showInputMessage="1" showErrorMessage="1" sqref="F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>
      <c r="A1" s="1" t="s">
        <v>0</v>
      </c>
      <c r="B1" s="4" t="s">
        <v>27</v>
      </c>
      <c r="C1" s="4" t="s">
        <v>28</v>
      </c>
      <c r="D1" s="4" t="s">
        <v>29</v>
      </c>
      <c r="E1" s="9" t="s">
        <v>30</v>
      </c>
      <c r="F1" s="5" t="s">
        <v>31</v>
      </c>
      <c r="G1" s="4" t="s">
        <v>32</v>
      </c>
      <c r="H1" s="4" t="s">
        <v>90</v>
      </c>
      <c r="I1" s="6"/>
    </row>
    <row r="2" spans="1:9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>
      <c r="A1" s="1" t="s">
        <v>0</v>
      </c>
      <c r="B1" s="1" t="s">
        <v>49</v>
      </c>
      <c r="C1" s="4" t="s">
        <v>50</v>
      </c>
      <c r="D1" s="4" t="s">
        <v>34</v>
      </c>
      <c r="E1" s="4" t="s">
        <v>33</v>
      </c>
      <c r="F1" s="4" t="s">
        <v>48</v>
      </c>
      <c r="G1" s="4" t="s">
        <v>51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2"/>
  <sheetViews>
    <sheetView workbookViewId="0">
      <selection activeCell="L8" sqref="L8"/>
    </sheetView>
  </sheetViews>
  <sheetFormatPr defaultRowHeight="14.4"/>
  <cols>
    <col min="1" max="1" width="9" style="1" customWidth="1"/>
    <col min="2" max="2" width="15.6640625" customWidth="1"/>
    <col min="3" max="3" width="27.44140625" style="4" customWidth="1"/>
    <col min="4" max="4" width="21.6640625" customWidth="1"/>
    <col min="5" max="5" width="30" customWidth="1"/>
  </cols>
  <sheetData>
    <row r="1" spans="1:5">
      <c r="A1" s="1" t="s">
        <v>0</v>
      </c>
      <c r="B1" t="s">
        <v>57</v>
      </c>
      <c r="C1" s="4" t="s">
        <v>28</v>
      </c>
      <c r="D1" t="s">
        <v>58</v>
      </c>
      <c r="E1" t="s">
        <v>59</v>
      </c>
    </row>
    <row r="2" spans="1:5">
      <c r="A2" s="1" t="s">
        <v>99</v>
      </c>
      <c r="B2" t="s">
        <v>95</v>
      </c>
      <c r="C2" s="4" t="s">
        <v>96</v>
      </c>
      <c r="D2" t="s">
        <v>97</v>
      </c>
      <c r="E2" t="s">
        <v>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  <vt:lpstr>MasterLocationList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2026-04-18T00:57:14Z</dcterms:modified>
  <cp:category/>
  <cp:contentStatus/>
</cp:coreProperties>
</file>