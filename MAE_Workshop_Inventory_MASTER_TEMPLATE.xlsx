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a2ae81d67634e6/Desktop/Michanikos Artifex Enterprises/MAE Custom Digital Solutions/MAE Workshop Inventory Management System/GITHUB_MAE_Workshop Inventory App/"/>
    </mc:Choice>
  </mc:AlternateContent>
  <xr:revisionPtr revIDLastSave="300" documentId="13_ncr:1_{18ABDE8C-9C4E-4F00-B2FF-E4877FFDD8CD}" xr6:coauthVersionLast="47" xr6:coauthVersionMax="47" xr10:uidLastSave="{F74CF298-3CFE-4507-B918-683E14AF512C}"/>
  <bookViews>
    <workbookView xWindow="-108" yWindow="-108" windowWidth="23256" windowHeight="12456" xr2:uid="{BB4209F8-9B83-4E28-9EA3-8709A75F7EFC}"/>
  </bookViews>
  <sheets>
    <sheet name="Master Dashboard" sheetId="1" r:id="rId1"/>
    <sheet name="Overhead Summary" sheetId="13" r:id="rId2"/>
    <sheet name="Location" sheetId="12" r:id="rId3"/>
    <sheet name="Resell Inventory" sheetId="2" r:id="rId4"/>
    <sheet name="Shop Machinery" sheetId="3" r:id="rId5"/>
    <sheet name="Shop Power Tools" sheetId="5" r:id="rId6"/>
    <sheet name="Shop Hand Tools" sheetId="6" r:id="rId7"/>
    <sheet name="Shop Consumables" sheetId="7" r:id="rId8"/>
    <sheet name="Maintenance Log" sheetId="4" r:id="rId9"/>
    <sheet name="Shop Overhead" sheetId="8" r:id="rId10"/>
    <sheet name="Supplier Contacts" sheetId="9" r:id="rId11"/>
  </sheets>
  <definedNames>
    <definedName name="MasterLocationList">Location[Location_ID]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I2" i="1" a="1"/>
  <c r="I2" i="1" s="1"/>
  <c r="M2" i="7" a="1"/>
  <c r="M2" i="7" s="1"/>
  <c r="G2" i="1" s="1"/>
  <c r="K2" i="1" a="1"/>
  <c r="K2" i="1" s="1"/>
  <c r="B18" i="13"/>
  <c r="B19" i="13"/>
  <c r="B12" i="13"/>
  <c r="B13" i="13"/>
  <c r="B14" i="13"/>
  <c r="B15" i="13"/>
  <c r="B16" i="13"/>
  <c r="B17" i="13"/>
  <c r="B20" i="13"/>
  <c r="B11" i="13"/>
  <c r="B10" i="13"/>
  <c r="B21" i="13"/>
  <c r="J2" i="1"/>
  <c r="F2" i="1"/>
  <c r="E2" i="1"/>
  <c r="D2" i="1"/>
  <c r="C2" i="1"/>
  <c r="J2" i="2"/>
  <c r="B2" i="1" s="1"/>
  <c r="H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<sst xmlns="http://schemas.openxmlformats.org/spreadsheetml/2006/main" count="114" uniqueCount="75">
  <si>
    <t>mae_id</t>
  </si>
  <si>
    <t>Category</t>
  </si>
  <si>
    <t>Acquisition Date</t>
  </si>
  <si>
    <t>Purchase Price</t>
  </si>
  <si>
    <t>Restoration Cost</t>
  </si>
  <si>
    <t>Total Investment</t>
  </si>
  <si>
    <t>Current Status</t>
  </si>
  <si>
    <t>Target Sale Price</t>
  </si>
  <si>
    <t>Actual Sale Price</t>
  </si>
  <si>
    <t>Purchase Date</t>
  </si>
  <si>
    <t>Purchase Cost</t>
  </si>
  <si>
    <t>Performed By</t>
  </si>
  <si>
    <t>Cost</t>
  </si>
  <si>
    <t>Condition</t>
  </si>
  <si>
    <t>Unit of Measure</t>
  </si>
  <si>
    <t>Reorder Point</t>
  </si>
  <si>
    <t>Unit Cost</t>
  </si>
  <si>
    <t>Expense Category</t>
  </si>
  <si>
    <t>Description</t>
  </si>
  <si>
    <t>Payment Frequency</t>
  </si>
  <si>
    <t>Due Date</t>
  </si>
  <si>
    <t>Amount</t>
  </si>
  <si>
    <t>Auto-Pay?</t>
  </si>
  <si>
    <t>Email</t>
  </si>
  <si>
    <t>Phone</t>
  </si>
  <si>
    <t>Website</t>
  </si>
  <si>
    <t>Supplier Name</t>
  </si>
  <si>
    <t>Contact Person</t>
  </si>
  <si>
    <t>Notes/Other Info</t>
  </si>
  <si>
    <t>Functional Category</t>
  </si>
  <si>
    <t>Operational Category</t>
  </si>
  <si>
    <t>Power Source</t>
  </si>
  <si>
    <t>Current Inventory Value</t>
  </si>
  <si>
    <t>Location_ID</t>
  </si>
  <si>
    <t>Asset and Service Description</t>
  </si>
  <si>
    <t>Total Resell Investment</t>
  </si>
  <si>
    <t>Total Actual Sales</t>
  </si>
  <si>
    <t>Total Shop Asset Value</t>
  </si>
  <si>
    <t>Low Stock Items Count</t>
  </si>
  <si>
    <t>Total Machinery Value</t>
  </si>
  <si>
    <t>Total Power Tool Value</t>
  </si>
  <si>
    <t>Total Consumables Value</t>
  </si>
  <si>
    <t>Total Hand Tool Value</t>
  </si>
  <si>
    <t>Total Amount Due Next 30 Days</t>
  </si>
  <si>
    <t>Annual Total</t>
  </si>
  <si>
    <t>Facility Costs/Rent/Mortgage</t>
  </si>
  <si>
    <t>Insurance</t>
  </si>
  <si>
    <t>Debt/Leases on Equipment/Business Loans</t>
  </si>
  <si>
    <t>Subscriptions</t>
  </si>
  <si>
    <t>Salaries</t>
  </si>
  <si>
    <t>Utilities</t>
  </si>
  <si>
    <t>Maintnance/Repair</t>
  </si>
  <si>
    <t>Marketing/Advertising</t>
  </si>
  <si>
    <t>Professional Fees</t>
  </si>
  <si>
    <t>Travel/Vehicles</t>
  </si>
  <si>
    <t>Depreciation</t>
  </si>
  <si>
    <t>Other/Miscellaneous</t>
  </si>
  <si>
    <t>Equipment With Operational Issues</t>
  </si>
  <si>
    <t>Maintenance Items Due in Next 30 Days</t>
  </si>
  <si>
    <t>Complete</t>
  </si>
  <si>
    <t>Remarks</t>
  </si>
  <si>
    <t>Supplier/Remarks</t>
  </si>
  <si>
    <t>Tag_ID</t>
  </si>
  <si>
    <t>TBD</t>
  </si>
  <si>
    <t>To Be Determined</t>
  </si>
  <si>
    <t>TBD001</t>
  </si>
  <si>
    <t>Stock_Level</t>
  </si>
  <si>
    <t>Stock_Count</t>
  </si>
  <si>
    <t>Bulk_Value</t>
  </si>
  <si>
    <t>Completion Date</t>
  </si>
  <si>
    <t>Date Sold</t>
  </si>
  <si>
    <t>Serial Number/Other Info</t>
  </si>
  <si>
    <t>Tag_Type</t>
  </si>
  <si>
    <t>Item_Description</t>
  </si>
  <si>
    <t>Scheduled Service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</si>
</sst>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sz val="10"/>
      <color rgb="FF0A0A0A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Protection="1">
      <protection hidden="1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49" fontId="0" fillId="0" borderId="0" xfId="0" applyNumberFormat="1"/>
    <xf numFmtId="164" fontId="0" fillId="0" borderId="0" xfId="0" applyNumberFormat="1"/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1" fontId="0" fillId="0" borderId="0" xfId="0" applyNumberFormat="1"/>
    <xf numFmtId="14" fontId="0" fillId="0" borderId="0" xfId="0" applyNumberFormat="1"/>
    <xf numFmtId="14" fontId="0" fillId="0" borderId="0" xfId="0" applyNumberFormat="1" applyProtection="1">
      <protection locked="0"/>
    </xf>
    <xf numFmtId="3" fontId="0" fillId="0" borderId="0" xfId="0" applyNumberFormat="1"/>
    <xf numFmtId="3" fontId="0" fillId="0" borderId="0" xfId="0" applyNumberFormat="1" applyProtection="1">
      <protection locked="0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16">
    <dxf>
      <numFmt numFmtId="30" formatCode="@"/>
    </dxf>
    <dxf>
      <numFmt numFmtId="0" formatCode="General"/>
    </dxf>
    <dxf>
      <numFmt numFmtId="30" formatCode="@"/>
      <protection locked="1" hidden="1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1" hidden="1"/>
    </dxf>
    <dxf>
      <numFmt numFmtId="30" formatCode="@"/>
      <protection locked="1" hidden="1"/>
    </dxf>
    <dxf>
      <protection locked="0" hidden="0"/>
    </dxf>
    <dxf>
      <protection locked="1" hidden="0"/>
    </dxf>
    <dxf>
      <numFmt numFmtId="30" formatCode="@"/>
      <protection locked="0" hidden="0"/>
    </dxf>
    <dxf>
      <numFmt numFmtId="30" formatCode="@"/>
      <protection locked="0" hidden="0"/>
    </dxf>
    <dxf>
      <numFmt numFmtId="164" formatCode="&quot;$&quot;#,##0.00"/>
      <protection locked="0" hidden="0"/>
    </dxf>
    <dxf>
      <numFmt numFmtId="19" formatCode="m/d/yyyy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1" hidden="1"/>
    </dxf>
    <dxf>
      <protection locked="0" hidden="0"/>
    </dxf>
    <dxf>
      <protection locked="1" hidden="0"/>
    </dxf>
    <dxf>
      <numFmt numFmtId="30" formatCode="@"/>
      <protection locked="0" hidden="0"/>
    </dxf>
    <dxf>
      <numFmt numFmtId="164" formatCode="&quot;$&quot;#,##0.00"/>
      <protection locked="0" hidden="0"/>
    </dxf>
    <dxf>
      <numFmt numFmtId="1" formatCode="0"/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numFmt numFmtId="164" formatCode="&quot;$&quot;#,##0.00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0" formatCode="General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1" hidden="1"/>
    </dxf>
    <dxf>
      <protection locked="0" hidden="0"/>
    </dxf>
    <dxf>
      <protection locked="1" hidden="0"/>
    </dxf>
    <dxf>
      <numFmt numFmtId="30" formatCode="@"/>
      <protection locked="0" hidden="0"/>
    </dxf>
    <dxf>
      <protection locked="0" hidden="0"/>
    </dxf>
    <dxf>
      <numFmt numFmtId="0" formatCode="General"/>
      <protection locked="0" hidden="0"/>
    </dxf>
    <dxf>
      <numFmt numFmtId="0" formatCode="General"/>
      <protection locked="0" hidden="0"/>
    </dxf>
    <dxf>
      <protection locked="0" hidden="0"/>
    </dxf>
    <dxf>
      <numFmt numFmtId="164" formatCode="&quot;$&quot;#,##0.00"/>
      <protection locked="0" hidden="0"/>
    </dxf>
    <dxf>
      <numFmt numFmtId="30" formatCode="@"/>
      <protection locked="0" hidden="0"/>
    </dxf>
    <dxf>
      <numFmt numFmtId="0" formatCode="General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1" hidden="1"/>
    </dxf>
    <dxf>
      <protection locked="0" hidden="0"/>
    </dxf>
    <dxf>
      <protection locked="1" hidden="0"/>
    </dxf>
    <dxf>
      <numFmt numFmtId="30" formatCode="@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&quot;$&quot;#,##0.00"/>
      <protection locked="0" hidden="0"/>
    </dxf>
    <dxf>
      <numFmt numFmtId="30" formatCode="@"/>
      <protection locked="0" hidden="0"/>
    </dxf>
    <dxf>
      <numFmt numFmtId="0" formatCode="General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1" hidden="1"/>
    </dxf>
    <dxf>
      <protection locked="0" hidden="0"/>
    </dxf>
    <dxf>
      <protection locked="1" hidden="0"/>
    </dxf>
    <dxf>
      <numFmt numFmtId="30" formatCode="@"/>
      <protection locked="0" hidden="0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  <protection locked="0" hidden="0"/>
    </dxf>
    <dxf>
      <numFmt numFmtId="0" formatCode="General"/>
      <protection locked="0" hidden="0"/>
    </dxf>
    <dxf>
      <numFmt numFmtId="19" formatCode="m/d/yyyy"/>
      <protection locked="0" hidden="0"/>
    </dxf>
    <dxf>
      <numFmt numFmtId="164" formatCode="&quot;$&quot;#,##0.00"/>
      <protection locked="0" hidden="0"/>
    </dxf>
    <dxf>
      <protection locked="0" hidden="0"/>
    </dxf>
    <dxf>
      <numFmt numFmtId="30" formatCode="@"/>
      <protection locked="0" hidden="0"/>
    </dxf>
    <dxf>
      <numFmt numFmtId="30" formatCode="@"/>
      <protection locked="1" hidden="1"/>
    </dxf>
    <dxf>
      <protection locked="0" hidden="0"/>
    </dxf>
    <dxf>
      <protection locked="1" hidden="0"/>
    </dxf>
    <dxf>
      <numFmt numFmtId="30" formatCode="@"/>
      <protection locked="0" hidden="0"/>
    </dxf>
    <dxf>
      <protection locked="0" hidden="0"/>
    </dxf>
    <dxf>
      <numFmt numFmtId="164" formatCode="&quot;$&quot;#,##0.00"/>
      <protection locked="0" hidden="0"/>
    </dxf>
    <dxf>
      <numFmt numFmtId="19" formatCode="m/d/yyyy"/>
      <protection locked="0" hidden="0"/>
    </dxf>
    <dxf>
      <numFmt numFmtId="30" formatCode="@"/>
      <protection locked="0" hidden="0"/>
    </dxf>
    <dxf>
      <numFmt numFmtId="0" formatCode="General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1" hidden="1"/>
    </dxf>
    <dxf>
      <protection locked="0" hidden="0"/>
    </dxf>
    <dxf>
      <protection locked="1" hidden="0"/>
    </dxf>
    <dxf>
      <numFmt numFmtId="164" formatCode="&quot;$&quot;#,##0.00"/>
    </dxf>
    <dxf>
      <numFmt numFmtId="30" formatCode="@"/>
    </dxf>
    <dxf>
      <numFmt numFmtId="1" formatCode="0"/>
      <protection locked="0" hidden="0"/>
    </dxf>
    <dxf>
      <numFmt numFmtId="164" formatCode="&quot;$&quot;#,##0.00"/>
      <protection locked="0" hidden="0"/>
    </dxf>
    <dxf>
      <numFmt numFmtId="3" formatCode="#,##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&quot;$&quot;#,##0.00"/>
    </dxf>
    <dxf>
      <numFmt numFmtId="164" formatCode="&quot;$&quot;#,##0.00"/>
      <protection locked="0" hidden="0"/>
    </dxf>
    <dxf>
      <numFmt numFmtId="164" formatCode="&quot;$&quot;#,##0.00"/>
      <protection locked="0" hidden="0"/>
    </dxf>
    <dxf>
      <numFmt numFmtId="164" formatCode="&quot;$&quot;#,##0.00"/>
      <protection locked="0" hidden="0"/>
    </dxf>
    <dxf>
      <numFmt numFmtId="164" formatCode="&quot;$&quot;#,##0.00"/>
      <protection locked="0" hidden="0"/>
    </dxf>
    <dxf>
      <numFmt numFmtId="164" formatCode="&quot;$&quot;#,##0.00"/>
      <protection locked="0" hidden="0"/>
    </dxf>
    <dxf>
      <numFmt numFmtId="164" formatCode="&quot;$&quot;#,##0.00"/>
      <protection locked="0" hidden="0"/>
    </dxf>
    <dxf>
      <numFmt numFmtId="30" formatCode="@"/>
      <protection locked="1" hidden="1"/>
    </dxf>
    <dxf>
      <protection locked="0" hidden="0"/>
    </dxf>
    <dxf>
      <protection locked="1" hidden="0"/>
    </dxf>
    <dxf>
      <numFmt numFmtId="19" formatCode="m/d/yyyy"/>
      <protection locked="0" hidden="0"/>
    </dxf>
    <dxf>
      <numFmt numFmtId="164" formatCode="&quot;$&quot;#,##0.00"/>
      <protection locked="0" hidden="0"/>
    </dxf>
    <dxf>
      <numFmt numFmtId="164" formatCode="&quot;$&quot;#,##0.00"/>
      <protection locked="0" hidden="0"/>
    </dxf>
    <dxf>
      <numFmt numFmtId="30" formatCode="@"/>
      <protection locked="0" hidden="0"/>
    </dxf>
    <dxf>
      <numFmt numFmtId="164" formatCode="&quot;$&quot;#,##0.00"/>
      <protection locked="1" hidden="0"/>
    </dxf>
    <dxf>
      <numFmt numFmtId="164" formatCode="&quot;$&quot;#,##0.00"/>
      <protection locked="0" hidden="0"/>
    </dxf>
    <dxf>
      <numFmt numFmtId="164" formatCode="&quot;$&quot;#,##0.00"/>
      <protection locked="0" hidden="0"/>
    </dxf>
    <dxf>
      <numFmt numFmtId="19" formatCode="m/d/yyyy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0" formatCode="General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1" hidden="1"/>
    </dxf>
    <dxf>
      <protection locked="0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AAC9B-2490-4897-B1B0-35BCA496B1EC}" name="Master_Dashboard" displayName="Master_Dashboard" ref="A1:L2" totalsRowShown="0" headerRowDxfId="99" dataDxfId="98">
  <autoFilter ref="A1:L2" xr:uid="{E23AAC9B-2490-4897-B1B0-35BCA496B1EC}"/>
  <tableColumns count="12">
    <tableColumn id="1" xr3:uid="{0FA08005-3EA3-40A4-B1F6-F97329C0333E}" name="mae_id" dataDxfId="97"/>
    <tableColumn id="2" xr3:uid="{9DC14395-3E47-4AD3-9478-A0A87F06E532}" name="Total Resell Investment" dataDxfId="96">
      <calculatedColumnFormula>SUM(Resell_Inventory[Total Investment])</calculatedColumnFormula>
    </tableColumn>
    <tableColumn id="3" xr3:uid="{BD093FBC-8AA5-4D1C-881C-2928F91ADF2E}" name="Total Actual Sales" dataDxfId="95">
      <calculatedColumnFormula>SUM(Resell_Inventory[Actual Sale Price])</calculatedColumnFormula>
    </tableColumn>
    <tableColumn id="8" xr3:uid="{8127FC92-B011-41A5-B229-AFBAD48CACAA}" name="Total Machinery Value" dataDxfId="94">
      <calculatedColumnFormula>SUM(Shop_Machinery[Purchase Cost])</calculatedColumnFormula>
    </tableColumn>
    <tableColumn id="9" xr3:uid="{A91267CC-638B-4A12-B7C7-5F4BB2369A54}" name="Total Power Tool Value" dataDxfId="93">
      <calculatedColumnFormula>SUM(Shop_Power_Tools[Purchase Price])</calculatedColumnFormula>
    </tableColumn>
    <tableColumn id="10" xr3:uid="{74988749-A386-4C80-9863-6BDF471B0985}" name="Total Hand Tool Value" dataDxfId="92">
      <calculatedColumnFormula>SUM(Shop_Hand_Tools[Purchase Price])</calculatedColumnFormula>
    </tableColumn>
    <tableColumn id="11" xr3:uid="{45ADA20D-C061-46B8-BB93-1E9FFDB98DBC}" name="Total Consumables Value" dataDxfId="91">
      <calculatedColumnFormula>SUM(Shop_Consumables[Current Inventory Value])</calculatedColumnFormula>
    </tableColumn>
    <tableColumn id="4" xr3:uid="{FF13FE4A-758B-454A-B440-546DF0DC594D}" name="Total Shop Asset Value" dataDxfId="90">
      <calculatedColumnFormula>SUM(D2,E2,F2,G2)</calculatedColumnFormula>
    </tableColumn>
    <tableColumn id="5" xr3:uid="{7A74BF46-8BED-4B91-99D0-B278CC6F7AEC}" name="Low Stock Items Count" dataDxfId="89">
      <calculatedColumnFormula array="1">SUMPRODUCT(
    ((Shop_Consumables[Stock_Level]="Counted") * (ISNUMBER(Shop_Consumables[Stock_Count])) * (Shop_Consumables[Stock_Count]&lt;=Shop_Consumables[Reorder Point])) +
    ((ISNUMBER(MATCH(Shop_Consumables[Stock_Level], {"Few","None"}, 0))))
)</calculatedColumnFormula>
    </tableColumn>
    <tableColumn id="7" xr3:uid="{F48C34D4-1ECB-427E-9CA9-378ABA1B3979}" name="Total Amount Due Next 30 Days" dataDxfId="88">
      <calculatedColumnFormula>SUMIFS(Shop_Overhead[Amount], Shop_Overhead[Due Date], "&lt;="&amp;TODAY()+30, Shop_Overhead[Due Date], "&gt;="&amp;TODAY())</calculatedColumnFormula>
    </tableColumn>
    <tableColumn id="12" xr3:uid="{E4065760-B1B1-4564-936B-3405D3B80297}" name="Equipment With Operational Issues" dataDxfId="87">
      <calculatedColumnFormula array="1">SUM(
  COUNTIFS(Shop_Machinery[Condition], {"Needs Repair","Repair In-Progress","Unusable/Junk"}),
  COUNTIFS(Shop_Power_Tools[Condition], {"Needs Repair","Repair In-Progress","Unusable/Junk"}),
  COUNTIFS(Shop_Hand_Tools[Condition], {"Needs Repair","Repair In-Progress","Unusable/Junk"})
)</calculatedColumnFormula>
    </tableColumn>
    <tableColumn id="6" xr3:uid="{86A5DBCB-1064-4926-8405-405B453A4546}" name="Maintenance Items Due in Next 30 Days">
      <calculatedColumnFormula>COUNTIFS(Maintenance_Log[Scheduled Service Date], "&lt;="&amp;TODAY()+30, Maintenance_Log[Complete], 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579DA07-7AD6-49DA-9B44-D5B1132EDAC6}" name="Overhead_Summary" displayName="Overhead_Summary" ref="A9:B21" totalsRowShown="0">
  <autoFilter ref="A9:B21" xr:uid="{F579DA07-7AD6-49DA-9B44-D5B1132EDAC6}"/>
  <tableColumns count="2">
    <tableColumn id="1" xr3:uid="{7CA4839C-9603-479D-BD1C-8377DFA9603C}" name="Expense Category" dataDxfId="86"/>
    <tableColumn id="2" xr3:uid="{FE0F7616-EAF3-443D-AC69-DE6541DC10E5}" name="Annual Total" dataDxfId="85">
      <calculatedColumnFormula>SUMIF(Shop_Overhead[Expense Category], Overhead_Summary[[#This Row],[Expense Category]], Shop_Overhead[Amount])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ADC87F2-BD10-435C-9D45-DD8DB7DB1902}" name="Location" displayName="Location" ref="A1:C2" totalsRowShown="0">
  <autoFilter ref="A1:C2" xr:uid="{2ADC87F2-BD10-435C-9D45-DD8DB7DB1902}"/>
  <tableColumns count="3">
    <tableColumn id="1" xr3:uid="{D3C21C14-3B5F-4EBE-B777-F96EFD0A6C91}" name="mae_id" dataDxfId="2"/>
    <tableColumn id="2" xr3:uid="{7E953E1D-BE2C-4F7F-AAE5-06F3EDBC1067}" name="Location_ID" dataDxfId="1"/>
    <tableColumn id="3" xr3:uid="{60368768-3E0A-4CA0-8B3A-F230D9D220C2}" name="Description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DAC3A4-C29F-4046-9A11-9992CD804FC2}" name="Resell_Inventory" displayName="Resell_Inventory" ref="A1:N2" totalsRowShown="0" headerRowDxfId="115" dataDxfId="114">
  <autoFilter ref="A1:N2" xr:uid="{C0DAC3A4-C29F-4046-9A11-9992CD804FC2}"/>
  <tableColumns count="14">
    <tableColumn id="1" xr3:uid="{31EB6A75-D622-4C6B-8EF2-8277E8A807E0}" name="mae_id" dataDxfId="113"/>
    <tableColumn id="15" xr3:uid="{D25A390C-69B5-4326-A0D4-10EB45DDE5E5}" name="Tag_ID" dataDxfId="112"/>
    <tableColumn id="16" xr3:uid="{57D16231-357C-4C08-B062-20555121C2D6}" name="Tag_Type" dataDxfId="111"/>
    <tableColumn id="12" xr3:uid="{0E775026-8B56-4554-BC18-AC94F0BDF20B}" name="Location_ID" dataDxfId="110"/>
    <tableColumn id="3" xr3:uid="{F0848A0C-E009-47A8-9BE0-A358BFD7AFCB}" name="Item_Description" dataDxfId="109"/>
    <tableColumn id="4" xr3:uid="{8A489BED-384E-4862-A8F1-BED75945CC4B}" name="Category" dataDxfId="108"/>
    <tableColumn id="5" xr3:uid="{79CCD507-3486-45B8-B1D7-DE959429BBF9}" name="Acquisition Date" dataDxfId="107"/>
    <tableColumn id="6" xr3:uid="{563DF2E7-2105-4612-A389-66D5F1AEDDF9}" name="Purchase Price" dataDxfId="106"/>
    <tableColumn id="7" xr3:uid="{FDBBAA67-6187-4328-A88E-15A2886AD21A}" name="Restoration Cost" dataDxfId="105"/>
    <tableColumn id="8" xr3:uid="{D8774B66-8C20-45C5-AA6A-345E630152B8}" name="Total Investment" dataDxfId="104">
      <calculatedColumnFormula>Resell_Inventory[[#This Row],[Purchase Price]]+Resell_Inventory[[#This Row],[Restoration Cost]]</calculatedColumnFormula>
    </tableColumn>
    <tableColumn id="9" xr3:uid="{3664471D-925B-4CA7-9A43-C274BD7CE318}" name="Current Status" dataDxfId="103"/>
    <tableColumn id="10" xr3:uid="{85695CF1-6906-4EBD-AC4D-EF944B62766A}" name="Target Sale Price" dataDxfId="102"/>
    <tableColumn id="11" xr3:uid="{F63E0332-DE71-48C1-8BAE-52EDD7B233C7}" name="Actual Sale Price" dataDxfId="101"/>
    <tableColumn id="13" xr3:uid="{71578D4D-1C79-4D4F-9C0F-A2C991F460FD}" name="Date Sold" dataDxfId="10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51396C-069E-4DB6-B1D4-8332D0E308D8}" name="Shop_Machinery" displayName="Shop_Machinery" ref="A1:I2" insertRow="1" totalsRowShown="0" headerRowDxfId="84" dataDxfId="83">
  <autoFilter ref="A1:I2" xr:uid="{7851396C-069E-4DB6-B1D4-8332D0E308D8}"/>
  <tableColumns count="9">
    <tableColumn id="1" xr3:uid="{4BF4F34A-34E8-41F1-92A8-4DEC12050AE4}" name="mae_id" dataDxfId="82"/>
    <tableColumn id="4" xr3:uid="{17EB0B09-11B3-4E08-9442-E3C9AB87A157}" name="Tag_ID" dataDxfId="81"/>
    <tableColumn id="5" xr3:uid="{72EAA357-95AA-4893-8038-2A77BDD0FB87}" name="Tag_Type" dataDxfId="80"/>
    <tableColumn id="11" xr3:uid="{A87C02EA-516D-41DC-8958-0A24FBEA5139}" name="Location_ID" dataDxfId="79"/>
    <tableColumn id="3" xr3:uid="{16C5F583-C3B4-49E4-BA38-E0F53D0CFD24}" name="Item_Description" dataDxfId="78"/>
    <tableColumn id="6" xr3:uid="{E313FD7A-F612-42AE-85A6-8693FFF5D72E}" name="Purchase Date" dataDxfId="77"/>
    <tableColumn id="7" xr3:uid="{5640579F-F227-4CF7-B821-9107014DE941}" name="Purchase Cost" dataDxfId="76"/>
    <tableColumn id="9" xr3:uid="{4845845F-E747-418E-9E07-D7130AC62B65}" name="Condition" dataDxfId="75"/>
    <tableColumn id="10" xr3:uid="{5A32000B-4543-43EE-ABB7-FB941F3116BD}" name="Serial Number/Other Info" dataDxfId="7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56D0AD-5808-43AD-9729-C30859C8E0E2}" name="Shop_Power_Tools" displayName="Shop_Power_Tools" ref="A1:K2" totalsRowShown="0" headerRowDxfId="63" dataDxfId="62">
  <autoFilter ref="A1:K2" xr:uid="{B256D0AD-5808-43AD-9729-C30859C8E0E2}"/>
  <tableColumns count="11">
    <tableColumn id="1" xr3:uid="{14D3C0F3-786E-4D59-8EBE-4E8ECDF77355}" name="mae_id" dataDxfId="61"/>
    <tableColumn id="11" xr3:uid="{21951C81-00A4-4344-9E81-B1B1DB06ADEF}" name="Tag_ID" dataDxfId="60"/>
    <tableColumn id="12" xr3:uid="{7F1AFB3A-34F9-4E3E-A9D3-7E7E1458ECFE}" name="Tag_Type" dataDxfId="59"/>
    <tableColumn id="6" xr3:uid="{713E4785-F162-4507-8CEC-58D1900A8AB6}" name="Location_ID" dataDxfId="58"/>
    <tableColumn id="3" xr3:uid="{864AFF0F-A6FF-4703-9283-093CABA0AB94}" name="Item_Description" dataDxfId="57"/>
    <tableColumn id="9" xr3:uid="{DC8BF91E-CE6C-4B37-88B8-9D97E3E9201C}" name="Purchase Price" dataDxfId="56"/>
    <tableColumn id="4" xr3:uid="{33A9C397-237A-43D3-A581-5DA7BEC5BEAE}" name="Functional Category" dataDxfId="55"/>
    <tableColumn id="7" xr3:uid="{4343A0FC-A88F-4191-8D18-BC86509BFBFF}" name="Operational Category" dataDxfId="54"/>
    <tableColumn id="8" xr3:uid="{DE84C9AE-3DAD-4522-AFC2-61396BA01671}" name="Power Source" dataDxfId="53"/>
    <tableColumn id="5" xr3:uid="{5416B904-9CBE-4604-9D84-C743A1D623A9}" name="Condition" dataDxfId="52"/>
    <tableColumn id="10" xr3:uid="{26197E01-2936-4F5F-8081-3AA351C1CD38}" name="Remarks" dataDxfId="5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38DE34-8744-4C90-AB61-00EF0F13B199}" name="Shop_Hand_Tools" displayName="Shop_Hand_Tools" ref="A1:K2" totalsRowShown="0" headerRowDxfId="50" dataDxfId="49">
  <autoFilter ref="A1:K2" xr:uid="{FA38DE34-8744-4C90-AB61-00EF0F13B199}"/>
  <tableColumns count="11">
    <tableColumn id="1" xr3:uid="{2B19855D-9BAD-44E0-A316-C1FF95F743CC}" name="mae_id" dataDxfId="48"/>
    <tableColumn id="10" xr3:uid="{C8BD69AA-9023-4777-9C96-39A81F1E4BE0}" name="Tag_ID" dataDxfId="47"/>
    <tableColumn id="12" xr3:uid="{FC4D7CE3-2DF1-465E-A4D1-1D1F02F8B8CA}" name="Tag_Type" dataDxfId="46"/>
    <tableColumn id="7" xr3:uid="{644102FD-D33A-4A70-A829-7ECBDAD17954}" name="Location_ID" dataDxfId="45"/>
    <tableColumn id="3" xr3:uid="{69442715-C75E-4B47-9564-7C3C4A1F6DAA}" name="Item_Description" dataDxfId="44"/>
    <tableColumn id="6" xr3:uid="{FEE72CB9-B490-4E03-9BBA-F46847223551}" name="Purchase Price" dataDxfId="43"/>
    <tableColumn id="4" xr3:uid="{A8D20E4D-22EA-421D-82C7-3A077CDA19E8}" name="Category" dataDxfId="42"/>
    <tableColumn id="8" xr3:uid="{080EB12A-CA17-4337-B46C-53DEAA3B2327}" name="Condition" dataDxfId="41"/>
    <tableColumn id="5" xr3:uid="{F2705B4D-CE08-40AB-8854-3954BE8800AA}" name="Stock_Level" dataDxfId="40"/>
    <tableColumn id="11" xr3:uid="{FD8D2D17-0451-45E0-8688-0BB4F60073DA}" name="Stock_Count" dataDxfId="39"/>
    <tableColumn id="9" xr3:uid="{2B57F5E6-66C5-4DBA-8949-836DE0F0791C}" name="Remarks" dataDxfId="3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2D9CF8-0BB2-4891-BFC6-736775F62E4D}" name="Shop_Consumables" displayName="Shop_Consumables" ref="A1:N2" totalsRowShown="0" headerRowDxfId="37" dataDxfId="36">
  <autoFilter ref="A1:N2" xr:uid="{212D9CF8-0BB2-4891-BFC6-736775F62E4D}"/>
  <tableColumns count="14">
    <tableColumn id="1" xr3:uid="{43C4A9D4-2E17-4D62-8C0D-8DEDF0B4423A}" name="mae_id" dataDxfId="35"/>
    <tableColumn id="12" xr3:uid="{8F0FD29C-682B-41B4-82F2-913D40801887}" name="Tag_ID" dataDxfId="34"/>
    <tableColumn id="15" xr3:uid="{CE0ECF5F-5626-4215-AC71-301755B31D23}" name="Tag_Type" dataDxfId="33"/>
    <tableColumn id="11" xr3:uid="{511966F0-606F-407D-B09E-02F31902094D}" name="Location_ID" dataDxfId="32"/>
    <tableColumn id="2" xr3:uid="{89FEB2D0-FBCD-4BE1-84C9-99FC556BBA41}" name="Item_Description" dataDxfId="31"/>
    <tableColumn id="9" xr3:uid="{3CECC6F9-9090-442B-A1A1-8A7961DEB8AF}" name="Category" dataDxfId="30"/>
    <tableColumn id="5" xr3:uid="{374E0561-27A0-4254-B830-D7E7F0E1D5AE}" name="Stock_Level" dataDxfId="29"/>
    <tableColumn id="4" xr3:uid="{BE4BDDA8-E894-4184-B2C5-A998CB44E20F}" name="Unit of Measure" dataDxfId="28"/>
    <tableColumn id="7" xr3:uid="{EB68210F-A1A5-4B47-B8FB-56CB47C8487E}" name="Unit Cost" dataDxfId="27"/>
    <tableColumn id="13" xr3:uid="{AA55BCE3-9AC1-4735-8622-15E62CA93E1A}" name="Stock_Count" dataDxfId="26"/>
    <tableColumn id="14" xr3:uid="{FA5C79D4-6D25-4E4C-BE9F-4190C63530C2}" name="Bulk_Value" dataDxfId="25"/>
    <tableColumn id="6" xr3:uid="{767749E4-A67C-4AFF-BA8F-5DBF1AF53F43}" name="Reorder Point" dataDxfId="24"/>
    <tableColumn id="10" xr3:uid="{AD664ABD-E878-4391-A095-B228A1F2A62D}" name="Current Inventory Value" dataDxfId="23">
      <calculatedColumnFormula array="1">IF(
    Shop_Consumables[[#This Row],[Stock_Level]]="Counted",
    Shop_Consumables[[#This Row],[Stock_Count]] * Shop_Consumables[[#This Row],[Unit Cost]],
    IF(
        Shop_Consumables[[#This Row],[Stock_Level]]="None",
        0,
        Shop_Consumables[[#This Row],[Bulk_Value]] * _xlfn.IFS(
            Shop_Consumables[[#This Row],[Stock_Level]]="Many", 1,
            Shop_Consumables[[#This Row],[Stock_Level]]="Adequate", 0.5,
            Shop_Consumables[[#This Row],[Stock_Level]]="Few", 0.25,
            TRUE, 0
        )
    )
)</calculatedColumnFormula>
    </tableColumn>
    <tableColumn id="8" xr3:uid="{E92F90B7-BEB2-4C65-80CE-6243F77F7CC4}" name="Supplier/Remarks" dataDxfId="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48D65F-395D-4E16-BB60-D764CB43F7DA}" name="Maintenance_Log" displayName="Maintenance_Log" ref="A1:H2" totalsRowShown="0" headerRowDxfId="73" dataDxfId="72">
  <autoFilter ref="A1:H2" xr:uid="{4F48D65F-395D-4E16-BB60-D764CB43F7DA}"/>
  <tableColumns count="8">
    <tableColumn id="1" xr3:uid="{89DC1EFB-4874-484F-8A54-71D285209A36}" name="mae_id" dataDxfId="71"/>
    <tableColumn id="10" xr3:uid="{CE8F9225-208D-4395-B2DF-2A6CBB978A83}" name="Asset and Service Description" dataDxfId="70"/>
    <tableColumn id="6" xr3:uid="{4C05311A-4D79-4E1B-9C84-A70DDD428604}" name="Performed By" dataDxfId="69"/>
    <tableColumn id="7" xr3:uid="{42638730-F8E7-4618-B878-1C695760484E}" name="Cost" dataDxfId="68"/>
    <tableColumn id="8" xr3:uid="{3F292746-268F-4EF2-B0BF-D9E17CC16858}" name="Scheduled Service Date" dataDxfId="67"/>
    <tableColumn id="11" xr3:uid="{4809319D-ABCA-43DA-A400-5DC91167D78B}" name="Complete" dataDxfId="66"/>
    <tableColumn id="4" xr3:uid="{2C9C0290-D9A7-42F8-BE3E-7F3F40E5A31F}" name="Completion Date" dataDxfId="65"/>
    <tableColumn id="12" xr3:uid="{920CB592-D743-4B33-A796-C7F3DB32211C}" name="Remarks" dataDxfId="6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B78E2D-D1BA-4980-AD28-7371DA7E8BF1}" name="Shop_Overhead" displayName="Shop_Overhead" ref="A1:H2" totalsRowShown="0" headerRowDxfId="21" dataDxfId="20">
  <autoFilter ref="A1:H2" xr:uid="{D2B78E2D-D1BA-4980-AD28-7371DA7E8BF1}"/>
  <tableColumns count="8">
    <tableColumn id="1" xr3:uid="{D0403366-FF83-43D4-A4A6-53D956BB53D5}" name="mae_id" dataDxfId="19"/>
    <tableColumn id="2" xr3:uid="{115FC258-36AA-4A2D-895A-FE4B5FFF6B06}" name="Expense Category" dataDxfId="18"/>
    <tableColumn id="3" xr3:uid="{4B114529-F91B-482E-9657-3D4FA758474D}" name="Description" dataDxfId="17"/>
    <tableColumn id="4" xr3:uid="{F8FB0744-346B-4B81-82DA-5BADEC284B94}" name="Payment Frequency" dataDxfId="16"/>
    <tableColumn id="5" xr3:uid="{D172DF65-3EB9-4C6D-9AB1-AF943A035CF4}" name="Due Date" dataDxfId="15"/>
    <tableColumn id="6" xr3:uid="{B1E060DC-CDE4-40B3-9DE0-440A66FD2817}" name="Amount" dataDxfId="14"/>
    <tableColumn id="7" xr3:uid="{BE283BC1-242E-4333-BF81-EBC4F9B2483D}" name="Auto-Pay?" dataDxfId="13"/>
    <tableColumn id="8" xr3:uid="{9140C4E8-CB9E-40BF-ABD9-13A971322B09}" name="Remarks" dataDxfId="1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5A2D88-6FFF-49FE-93CF-46B9225A62FF}" name="Supplier_Contacts" displayName="Supplier_Contacts" ref="A1:G2" totalsRowShown="0" headerRowDxfId="11" dataDxfId="10">
  <autoFilter ref="A1:G2" xr:uid="{4D5A2D88-6FFF-49FE-93CF-46B9225A62FF}"/>
  <tableColumns count="7">
    <tableColumn id="1" xr3:uid="{B1057331-F99D-4824-9EC8-9800B5256BF6}" name="mae_id" dataDxfId="9"/>
    <tableColumn id="11" xr3:uid="{B56AF81F-63CB-4874-A9B8-B76E4D91E239}" name="Supplier Name" dataDxfId="8"/>
    <tableColumn id="2" xr3:uid="{6D90D0F5-8F28-4725-BF13-0A57A9536E58}" name="Contact Person" dataDxfId="7"/>
    <tableColumn id="10" xr3:uid="{DBCEF9D0-078A-4536-BA57-A5D99D4510DF}" name="Phone" dataDxfId="6"/>
    <tableColumn id="6" xr3:uid="{2D53D9C2-51E7-4946-A506-A47B54EDDA21}" name="Email" dataDxfId="5"/>
    <tableColumn id="12" xr3:uid="{A82FB354-D6D5-4ECA-B820-0C76DC34EF4D}" name="Website" dataDxfId="4"/>
    <tableColumn id="9" xr3:uid="{48CFB17A-2B61-479C-A6CF-4AC3020D2F09}" name="Notes/Other Inf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4D935-E140-4D64-A4CD-4A9FB8899FE0}">
  <sheetPr codeName="Sheet1"/>
  <dimension ref="A1:L2"/>
  <sheetViews>
    <sheetView tabSelected="1" workbookViewId="0">
      <pane ySplit="1" topLeftCell="A2" activePane="bottomLeft" state="frozen"/>
      <selection pane="bottomLeft" activeCell="L2" sqref="L2"/>
    </sheetView>
  </sheetViews>
  <sheetFormatPr defaultColWidth="8.88671875" defaultRowHeight="14.4"/>
  <cols>
    <col min="1" max="1" width="9.33203125" style="1" bestFit="1" customWidth="1"/>
    <col min="2" max="2" width="29.109375" style="3" customWidth="1"/>
    <col min="3" max="3" width="18" style="3" bestFit="1" customWidth="1"/>
    <col min="4" max="4" width="21.44140625" style="3" bestFit="1" customWidth="1"/>
    <col min="5" max="5" width="21.77734375" style="3" bestFit="1" customWidth="1"/>
    <col min="6" max="6" width="21.44140625" style="3" bestFit="1" customWidth="1"/>
    <col min="7" max="7" width="24.33203125" style="3" bestFit="1" customWidth="1"/>
    <col min="8" max="8" width="22" style="3" bestFit="1" customWidth="1"/>
    <col min="9" max="9" width="22.109375" style="12" bestFit="1" customWidth="1"/>
    <col min="10" max="10" width="29" style="3" bestFit="1" customWidth="1"/>
    <col min="11" max="11" width="32.88671875" style="3" bestFit="1" customWidth="1"/>
    <col min="12" max="12" width="32.88671875" style="7" bestFit="1" customWidth="1"/>
    <col min="13" max="16384" width="8.88671875" style="6"/>
  </cols>
  <sheetData>
    <row r="1" spans="1:12">
      <c r="A1" s="1" t="s">
        <v>0</v>
      </c>
      <c r="B1" s="5" t="s">
        <v>35</v>
      </c>
      <c r="C1" s="5" t="s">
        <v>36</v>
      </c>
      <c r="D1" s="5" t="s">
        <v>39</v>
      </c>
      <c r="E1" s="5" t="s">
        <v>40</v>
      </c>
      <c r="F1" s="5" t="s">
        <v>42</v>
      </c>
      <c r="G1" s="5" t="s">
        <v>41</v>
      </c>
      <c r="H1" s="5" t="s">
        <v>37</v>
      </c>
      <c r="I1" s="11" t="s">
        <v>38</v>
      </c>
      <c r="J1" s="5" t="s">
        <v>43</v>
      </c>
      <c r="K1" s="8" t="s">
        <v>57</v>
      </c>
      <c r="L1" s="8" t="s">
        <v>58</v>
      </c>
    </row>
    <row r="2" spans="1:12">
      <c r="B2" s="3">
        <f>SUM(Resell_Inventory[Total Investment])</f>
        <v>0</v>
      </c>
      <c r="C2" s="3">
        <f>SUM(Resell_Inventory[Actual Sale Price])</f>
        <v>0</v>
      </c>
      <c r="D2" s="3">
        <f>SUM(Shop_Machinery[Purchase Cost])</f>
        <v>0</v>
      </c>
      <c r="E2" s="3">
        <f>SUM(Shop_Power_Tools[Purchase Price])</f>
        <v>0</v>
      </c>
      <c r="F2" s="3">
        <f>SUM(Shop_Hand_Tools[Purchase Price])</f>
        <v>0</v>
      </c>
      <c r="G2" s="3">
        <f>SUM(Shop_Consumables[Current Inventory Value])</f>
        <v>0</v>
      </c>
      <c r="H2" s="13">
        <f>SUM(D2,E2,F2,G2)</f>
        <v>0</v>
      </c>
      <c r="I2" s="12" cm="1">
        <f t="array" ref="I2">SUMPRODUCT(
    ((Shop_Consumables[Stock_Level]="Counted") * (ISNUMBER(Shop_Consumables[Stock_Count])) * (Shop_Consumables[Stock_Count]&lt;=Shop_Consumables[Reorder Point])) +
    ((ISNUMBER(MATCH(Shop_Consumables[Stock_Level], {"Few","None"}, 0))))
)</f>
        <v>0</v>
      </c>
      <c r="J2" s="3">
        <f ca="1">SUMIFS(Shop_Overhead[Amount], Shop_Overhead[Due Date], "&lt;="&amp;TODAY()+30, Shop_Overhead[Due Date], "&gt;="&amp;TODAY())</f>
        <v>0</v>
      </c>
      <c r="K2" s="7" cm="1">
        <f t="array" ref="K2">SUM(
  COUNTIFS(Shop_Machinery[Condition], {"Needs Repair","Repair In-Progress","Unusable/Junk"}),
  COUNTIFS(Shop_Power_Tools[Condition], {"Needs Repair","Repair In-Progress","Unusable/Junk"}),
  COUNTIFS(Shop_Hand_Tools[Condition], {"Needs Repair","Repair In-Progress","Unusable/Junk"})
)</f>
        <v>0</v>
      </c>
      <c r="L2" s="14">
        <f ca="1">COUNTIFS(Maintenance_Log[Scheduled Service Date], "&lt;="&amp;TODAY()+30, Maintenance_Log[Complete], FALSE)</f>
        <v>0</v>
      </c>
    </row>
  </sheetData>
  <phoneticPr fontId="1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ED58-AF1A-4384-BD5D-DFB0D7D062C9}">
  <dimension ref="A9:B21"/>
  <sheetViews>
    <sheetView topLeftCell="A9" workbookViewId="0">
      <selection activeCell="A26" sqref="A26"/>
    </sheetView>
  </sheetViews>
  <sheetFormatPr defaultRowHeight="14.4"/>
  <cols>
    <col min="1" max="1" width="42.21875" style="4" customWidth="1"/>
    <col min="2" max="2" width="17.5546875" style="5" customWidth="1"/>
  </cols>
  <sheetData>
    <row r="9" spans="1:2">
      <c r="A9" s="4" t="s">
        <v>17</v>
      </c>
      <c r="B9" s="5" t="s">
        <v>44</v>
      </c>
    </row>
    <row r="10" spans="1:2">
      <c r="A10" s="2" t="s">
        <v>45</v>
      </c>
      <c r="B10" s="5">
        <f>SUMIF(Shop_Overhead[Expense Category], Overhead_Summary[[#This Row],[Expense Category]], Shop_Overhead[Amount])</f>
        <v>0</v>
      </c>
    </row>
    <row r="11" spans="1:2">
      <c r="A11" s="2" t="s">
        <v>46</v>
      </c>
      <c r="B11" s="5">
        <f>SUMIF(Shop_Overhead[Expense Category], Overhead_Summary[[#This Row],[Expense Category]], Shop_Overhead[Amount])</f>
        <v>0</v>
      </c>
    </row>
    <row r="12" spans="1:2">
      <c r="A12" s="2" t="s">
        <v>47</v>
      </c>
      <c r="B12" s="5">
        <f>SUMIF(Shop_Overhead[Expense Category], Overhead_Summary[[#This Row],[Expense Category]], Shop_Overhead[Amount])</f>
        <v>0</v>
      </c>
    </row>
    <row r="13" spans="1:2">
      <c r="A13" s="2" t="s">
        <v>48</v>
      </c>
      <c r="B13" s="5">
        <f>SUMIF(Shop_Overhead[Expense Category], Overhead_Summary[[#This Row],[Expense Category]], Shop_Overhead[Amount])</f>
        <v>0</v>
      </c>
    </row>
    <row r="14" spans="1:2">
      <c r="A14" s="2" t="s">
        <v>49</v>
      </c>
      <c r="B14" s="5">
        <f>SUMIF(Shop_Overhead[Expense Category], Overhead_Summary[[#This Row],[Expense Category]], Shop_Overhead[Amount])</f>
        <v>0</v>
      </c>
    </row>
    <row r="15" spans="1:2">
      <c r="A15" s="2" t="s">
        <v>50</v>
      </c>
      <c r="B15" s="5">
        <f>SUMIF(Shop_Overhead[Expense Category], Overhead_Summary[[#This Row],[Expense Category]], Shop_Overhead[Amount])</f>
        <v>0</v>
      </c>
    </row>
    <row r="16" spans="1:2">
      <c r="A16" s="2" t="s">
        <v>51</v>
      </c>
      <c r="B16" s="5">
        <f>SUMIF(Shop_Overhead[Expense Category], Overhead_Summary[[#This Row],[Expense Category]], Shop_Overhead[Amount])</f>
        <v>0</v>
      </c>
    </row>
    <row r="17" spans="1:2">
      <c r="A17" s="2" t="s">
        <v>52</v>
      </c>
      <c r="B17" s="5">
        <f>SUMIF(Shop_Overhead[Expense Category], Overhead_Summary[[#This Row],[Expense Category]], Shop_Overhead[Amount])</f>
        <v>0</v>
      </c>
    </row>
    <row r="18" spans="1:2">
      <c r="A18" s="2" t="s">
        <v>53</v>
      </c>
      <c r="B18" s="5">
        <f>SUMIF(Shop_Overhead[Expense Category], Overhead_Summary[[#This Row],[Expense Category]], Shop_Overhead[Amount])</f>
        <v>0</v>
      </c>
    </row>
    <row r="19" spans="1:2">
      <c r="A19" s="2" t="s">
        <v>54</v>
      </c>
      <c r="B19" s="5">
        <f>SUMIF(Shop_Overhead[Expense Category], Overhead_Summary[[#This Row],[Expense Category]], Shop_Overhead[Amount])</f>
        <v>0</v>
      </c>
    </row>
    <row r="20" spans="1:2">
      <c r="A20" s="2" t="s">
        <v>55</v>
      </c>
      <c r="B20" s="5">
        <f>SUMIF(Shop_Overhead[Expense Category], Overhead_Summary[[#This Row],[Expense Category]], Shop_Overhead[Amount])</f>
        <v>0</v>
      </c>
    </row>
    <row r="21" spans="1:2">
      <c r="A21" s="2" t="s">
        <v>56</v>
      </c>
      <c r="B21" s="5">
        <f>SUMIF(Shop_Overhead[Expense Category], Overhead_Summary[[#This Row],[Expense Category]], Shop_Overhead[Amount])</f>
        <v>0</v>
      </c>
    </row>
  </sheetData>
  <dataValidations count="1">
    <dataValidation type="list" allowBlank="1" showInputMessage="1" showErrorMessage="1" sqref="A10:A21" xr:uid="{5D203998-8919-42E9-9815-48F6851487A8}">
      <formula1>"Facility Costs/Rent/Mortgage,Insurance,Debt/Leases on Equipment/Business Loans,Subscriptions,Salaries,Utilities,Maintnance/Repair,Marketing/Advertising,Professional Fees,Travel/Vehicles,Depreciation,Other/Miscellaneous"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8BCD-5A8C-45EE-A940-2FEFA1E5B102}">
  <dimension ref="A1:C2"/>
  <sheetViews>
    <sheetView workbookViewId="0">
      <selection activeCell="B10" sqref="B10"/>
    </sheetView>
  </sheetViews>
  <sheetFormatPr defaultRowHeight="14.4"/>
  <cols>
    <col min="1" max="1" width="9" style="1" customWidth="1"/>
    <col min="2" max="2" width="96.88671875" customWidth="1"/>
    <col min="3" max="3" width="95.77734375" style="4" customWidth="1"/>
  </cols>
  <sheetData>
    <row r="1" spans="1:3">
      <c r="A1" s="1" t="s">
        <v>0</v>
      </c>
      <c r="B1" t="s">
        <v>33</v>
      </c>
      <c r="C1" s="4" t="s">
        <v>18</v>
      </c>
    </row>
    <row r="2" spans="1:3">
      <c r="A2" s="1" t="s">
        <v>65</v>
      </c>
      <c r="B2" t="s">
        <v>63</v>
      </c>
      <c r="C2" s="4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BF89-A2E7-4A6F-B822-317739E206EC}">
  <sheetPr codeName="Sheet2"/>
  <dimension ref="A1:Q2"/>
  <sheetViews>
    <sheetView workbookViewId="0">
      <selection activeCell="N12" sqref="N12"/>
    </sheetView>
  </sheetViews>
  <sheetFormatPr defaultColWidth="8.88671875" defaultRowHeight="14.4"/>
  <cols>
    <col min="1" max="1" width="9" style="1" customWidth="1"/>
    <col min="2" max="3" width="9.5546875" style="2" customWidth="1"/>
    <col min="4" max="4" width="12.88671875" bestFit="1" customWidth="1"/>
    <col min="5" max="5" width="31.44140625" style="2" customWidth="1"/>
    <col min="6" max="6" width="10.5546875" style="2" bestFit="1" customWidth="1"/>
    <col min="7" max="7" width="17" style="10" bestFit="1" customWidth="1"/>
    <col min="8" max="8" width="15.33203125" style="3" customWidth="1"/>
    <col min="9" max="9" width="16.5546875" style="3" customWidth="1"/>
    <col min="10" max="10" width="16.6640625" style="5" customWidth="1"/>
    <col min="11" max="11" width="19.109375" style="2" bestFit="1" customWidth="1"/>
    <col min="12" max="12" width="16.6640625" style="3" customWidth="1"/>
    <col min="13" max="13" width="16.88671875" style="3" customWidth="1"/>
    <col min="14" max="14" width="16.88671875" style="10" customWidth="1"/>
    <col min="15" max="15" width="12.88671875" bestFit="1" customWidth="1"/>
    <col min="16" max="16" width="16.88671875" style="6" customWidth="1"/>
    <col min="17" max="17" width="16.88671875" style="2" customWidth="1"/>
    <col min="18" max="16384" width="8.88671875" style="6"/>
  </cols>
  <sheetData>
    <row r="1" spans="1:17">
      <c r="A1" s="1" t="s">
        <v>0</v>
      </c>
      <c r="B1" s="4" t="s">
        <v>62</v>
      </c>
      <c r="C1" s="4" t="s">
        <v>72</v>
      </c>
      <c r="D1" t="s">
        <v>33</v>
      </c>
      <c r="E1" s="4" t="s">
        <v>73</v>
      </c>
      <c r="F1" s="4" t="s">
        <v>1</v>
      </c>
      <c r="G1" s="9" t="s">
        <v>2</v>
      </c>
      <c r="H1" s="5" t="s">
        <v>3</v>
      </c>
      <c r="I1" s="5" t="s">
        <v>4</v>
      </c>
      <c r="J1" s="5" t="s">
        <v>5</v>
      </c>
      <c r="K1" s="4" t="s">
        <v>6</v>
      </c>
      <c r="L1" s="5" t="s">
        <v>7</v>
      </c>
      <c r="M1" s="5" t="s">
        <v>8</v>
      </c>
      <c r="N1" s="9" t="s">
        <v>70</v>
      </c>
      <c r="O1" s="6"/>
      <c r="Q1" s="6"/>
    </row>
    <row r="2" spans="1:17">
      <c r="D2" s="6"/>
      <c r="J2" s="5">
        <f>Resell_Inventory[[#This Row],[Purchase Price]]+Resell_Inventory[[#This Row],[Restoration Cost]]</f>
        <v>0</v>
      </c>
      <c r="O2" s="6"/>
      <c r="Q2" s="6"/>
    </row>
  </sheetData>
  <dataValidations count="3">
    <dataValidation type="list" allowBlank="1" showInputMessage="1" showErrorMessage="1" sqref="K3:K1000" xr:uid="{F45414DD-76C8-4DC4-96E2-15B89FDB5B51}">
      <formula1>"work not started, restoration in progress, for sale, sold"</formula1>
    </dataValidation>
    <dataValidation type="list" allowBlank="1" showInputMessage="1" showErrorMessage="1" sqref="F2" xr:uid="{C1AA0387-29B3-4797-A152-88A8C024D825}">
      <formula1>"Machinery, Furniture, Electronics, Craft, Auto Related, Other"</formula1>
    </dataValidation>
    <dataValidation type="list" allowBlank="1" showInputMessage="1" showErrorMessage="1" sqref="K2" xr:uid="{3C9AD8AD-AB10-403F-A04B-87B1D7C9B98E}">
      <formula1>"Not Started, In-Progress, Complete, For Sale, Sold"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EC69-551F-4051-8A71-8B106D207C6D}">
  <sheetPr codeName="Sheet3"/>
  <dimension ref="A1:J2"/>
  <sheetViews>
    <sheetView workbookViewId="0">
      <selection activeCell="H1" sqref="H1:H1048576"/>
    </sheetView>
  </sheetViews>
  <sheetFormatPr defaultColWidth="8.88671875" defaultRowHeight="14.4"/>
  <cols>
    <col min="1" max="1" width="9" style="1" customWidth="1"/>
    <col min="2" max="3" width="9.5546875" style="2" customWidth="1"/>
    <col min="4" max="4" width="12.33203125" style="6" customWidth="1"/>
    <col min="5" max="5" width="28.6640625" style="2" customWidth="1"/>
    <col min="6" max="6" width="14.6640625" style="10" customWidth="1"/>
    <col min="7" max="7" width="14.6640625" style="3" customWidth="1"/>
    <col min="8" max="8" width="12.88671875" customWidth="1"/>
    <col min="9" max="9" width="40.88671875" style="6" customWidth="1"/>
    <col min="10" max="10" width="32.6640625" style="2" customWidth="1"/>
    <col min="11" max="16384" width="8.88671875" style="6"/>
  </cols>
  <sheetData>
    <row r="1" spans="1:10">
      <c r="A1" s="1" t="s">
        <v>0</v>
      </c>
      <c r="B1" s="4" t="s">
        <v>62</v>
      </c>
      <c r="C1" s="4" t="s">
        <v>72</v>
      </c>
      <c r="D1" t="s">
        <v>33</v>
      </c>
      <c r="E1" s="4" t="s">
        <v>73</v>
      </c>
      <c r="F1" s="9" t="s">
        <v>9</v>
      </c>
      <c r="G1" s="5" t="s">
        <v>10</v>
      </c>
      <c r="H1" t="s">
        <v>13</v>
      </c>
      <c r="I1" s="4" t="s">
        <v>71</v>
      </c>
      <c r="J1" s="6"/>
    </row>
    <row r="2" spans="1:10">
      <c r="H2" s="6"/>
      <c r="I2" s="2"/>
      <c r="J2" s="6"/>
    </row>
  </sheetData>
  <dataValidations count="2">
    <dataValidation type="list" allowBlank="1" showInputMessage="1" showErrorMessage="1" sqref="I3:I1000" xr:uid="{D25ACF8B-D3DC-4EFD-9C68-FC99372E0DCF}">
      <formula1>"Operational, Needs Repair, Unusable"</formula1>
    </dataValidation>
    <dataValidation type="list" allowBlank="1" showInputMessage="1" showErrorMessage="1" sqref="H2" xr:uid="{4B2064CB-79C2-427D-B2C2-7CE85187D094}">
      <formula1>"Operational, Needs Repair, Repair In-Progress, Unusable/Junk"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AA7-75C3-4AA5-ABFD-D5FB4C627E4C}">
  <sheetPr codeName="Sheet5"/>
  <dimension ref="A1:M2"/>
  <sheetViews>
    <sheetView workbookViewId="0">
      <selection activeCell="B1" sqref="B1:B1048576"/>
    </sheetView>
  </sheetViews>
  <sheetFormatPr defaultColWidth="8.88671875" defaultRowHeight="14.4"/>
  <cols>
    <col min="1" max="1" width="9" style="1" customWidth="1"/>
    <col min="2" max="3" width="8.6640625" style="2" customWidth="1"/>
    <col min="4" max="4" width="12.88671875" style="6" bestFit="1" customWidth="1"/>
    <col min="5" max="5" width="50.44140625" style="2" customWidth="1"/>
    <col min="6" max="6" width="15.6640625" style="3" bestFit="1" customWidth="1"/>
    <col min="8" max="8" width="19.88671875" style="6" bestFit="1" customWidth="1"/>
    <col min="9" max="9" width="19.88671875" style="6" customWidth="1"/>
    <col min="10" max="10" width="14.44140625" style="6" bestFit="1" customWidth="1"/>
    <col min="11" max="11" width="11.33203125" bestFit="1" customWidth="1"/>
    <col min="12" max="12" width="13.5546875" style="6" customWidth="1"/>
    <col min="13" max="13" width="14.44140625" style="2" customWidth="1"/>
    <col min="14" max="16384" width="8.88671875" style="6"/>
  </cols>
  <sheetData>
    <row r="1" spans="1:13">
      <c r="A1" s="1" t="s">
        <v>0</v>
      </c>
      <c r="B1" s="4" t="s">
        <v>62</v>
      </c>
      <c r="C1" s="4" t="s">
        <v>72</v>
      </c>
      <c r="D1" t="s">
        <v>33</v>
      </c>
      <c r="E1" s="4" t="s">
        <v>73</v>
      </c>
      <c r="F1" s="5" t="s">
        <v>3</v>
      </c>
      <c r="G1" t="s">
        <v>29</v>
      </c>
      <c r="H1" t="s">
        <v>30</v>
      </c>
      <c r="I1" t="s">
        <v>31</v>
      </c>
      <c r="J1" t="s">
        <v>13</v>
      </c>
      <c r="K1" s="4" t="s">
        <v>60</v>
      </c>
      <c r="M1" s="6"/>
    </row>
    <row r="2" spans="1:13">
      <c r="G2" s="6"/>
      <c r="K2" s="2"/>
      <c r="M2" s="6"/>
    </row>
  </sheetData>
  <phoneticPr fontId="1" type="noConversion"/>
  <dataValidations count="6">
    <dataValidation type="list" allowBlank="1" showInputMessage="1" showErrorMessage="1" sqref="M3:M1000 H3:J1000" xr:uid="{FF61F80C-5E23-45D6-B39D-7C5635258115}">
      <formula1>"Circular Saw, Drill, Sander, Grinder, Other"</formula1>
    </dataValidation>
    <dataValidation type="list" allowBlank="1" showInputMessage="1" showErrorMessage="1" sqref="L3:M1000" xr:uid="{DB752B4D-0E75-42D1-B907-2DBC5792F422}">
      <formula1>"New, Operational, Needs Repair, Broken"</formula1>
    </dataValidation>
    <dataValidation type="list" allowBlank="1" showInputMessage="1" showErrorMessage="1" sqref="G2" xr:uid="{05EFC744-2B0C-453D-A1B6-F8391608434D}">
      <formula1>"Drilling, Cutting, Grinding, Sanding, Fastening, Shaping/Routing, Other"</formula1>
    </dataValidation>
    <dataValidation type="list" allowBlank="1" showInputMessage="1" showErrorMessage="1" sqref="H2" xr:uid="{194EFB2B-690A-4D50-8AF6-E8ED45FE2FCA}">
      <formula1>"Portable/Handheld, Stationary/Bench Top, Outdoor Power Equipment, "</formula1>
    </dataValidation>
    <dataValidation type="list" allowBlank="1" showInputMessage="1" showErrorMessage="1" sqref="J2:K2" xr:uid="{980AB122-9104-490B-993D-4F2FEF3A4EE6}">
      <formula1>"Operational, Needs Repair, Repair In-Progress, Unusable/Junk"</formula1>
    </dataValidation>
    <dataValidation type="list" allowBlank="1" showInputMessage="1" showErrorMessage="1" sqref="I2 K2" xr:uid="{47F6EF9A-B127-4EB7-A5E8-0075055489DC}">
      <formula1>"Corded(A/C), Cordless/Battery, Pneumatic/Air, Fuel-Powered"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ADDA6-CD5F-4655-A9C0-9676DDAC362E}">
  <sheetPr codeName="Sheet6"/>
  <dimension ref="A1:N2"/>
  <sheetViews>
    <sheetView workbookViewId="0">
      <selection activeCell="B1" sqref="B1:B1048576"/>
    </sheetView>
  </sheetViews>
  <sheetFormatPr defaultColWidth="8.88671875" defaultRowHeight="14.4"/>
  <cols>
    <col min="1" max="1" width="9.33203125" style="1" bestFit="1" customWidth="1"/>
    <col min="2" max="3" width="8.6640625" style="2" customWidth="1"/>
    <col min="4" max="4" width="12.88671875" style="6" bestFit="1" customWidth="1"/>
    <col min="5" max="5" width="54.6640625" style="2" customWidth="1"/>
    <col min="6" max="6" width="15.6640625" style="3" bestFit="1" customWidth="1"/>
    <col min="7" max="7" width="10.5546875" style="6" bestFit="1" customWidth="1"/>
    <col min="9" max="9" width="13.109375" bestFit="1" customWidth="1"/>
    <col min="10" max="10" width="13.6640625" style="6" bestFit="1" customWidth="1"/>
    <col min="11" max="11" width="13.6640625" bestFit="1" customWidth="1"/>
    <col min="12" max="12" width="10.33203125" style="4" bestFit="1" customWidth="1"/>
    <col min="13" max="13" width="16.33203125" style="7" customWidth="1"/>
    <col min="14" max="14" width="12.88671875" style="2" customWidth="1"/>
    <col min="15" max="16384" width="8.88671875" style="6"/>
  </cols>
  <sheetData>
    <row r="1" spans="1:14">
      <c r="A1" s="1" t="s">
        <v>0</v>
      </c>
      <c r="B1" s="4" t="s">
        <v>62</v>
      </c>
      <c r="C1" s="4" t="s">
        <v>72</v>
      </c>
      <c r="D1" t="s">
        <v>33</v>
      </c>
      <c r="E1" s="4" t="s">
        <v>73</v>
      </c>
      <c r="F1" s="5" t="s">
        <v>3</v>
      </c>
      <c r="G1" t="s">
        <v>1</v>
      </c>
      <c r="H1" t="s">
        <v>13</v>
      </c>
      <c r="I1" t="s">
        <v>66</v>
      </c>
      <c r="J1" t="s">
        <v>67</v>
      </c>
      <c r="K1" s="4" t="s">
        <v>60</v>
      </c>
      <c r="L1" s="6"/>
      <c r="M1" s="6"/>
      <c r="N1" s="6"/>
    </row>
    <row r="2" spans="1:14">
      <c r="H2" s="6"/>
      <c r="I2" s="6"/>
      <c r="K2" s="2"/>
      <c r="L2" s="6"/>
      <c r="M2" s="6"/>
      <c r="N2" s="6"/>
    </row>
  </sheetData>
  <dataValidations count="3">
    <dataValidation type="list" allowBlank="1" showInputMessage="1" showErrorMessage="1" sqref="N3:N1000 D3:D1000 G3:G1000 J3:K1000" xr:uid="{B6CB3C84-EE01-4878-B558-650FC19D8248}">
      <formula1>"Saw, Hammer, Screwdriver, Wrench, Sockets, Pliers, Measuring, Files, Other"</formula1>
    </dataValidation>
    <dataValidation type="list" allowBlank="1" showInputMessage="1" showErrorMessage="1" sqref="G2" xr:uid="{ACB7A40B-F0EE-4387-88E4-5140AB68313F}">
      <formula1>"Fastening/Turning,Measuring/Layout,Striking/Hammering,Gripping/Holding,Cutting/Shaping,Other"</formula1>
    </dataValidation>
    <dataValidation type="list" allowBlank="1" showInputMessage="1" showErrorMessage="1" sqref="J2:K2 H2" xr:uid="{2E543736-2E6D-4F90-9169-21BA7CCD7676}">
      <formula1>"Operational,Needs Repair,Repair In-Progress,Unusable/Junk"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02F1-C59B-4A1A-9D95-2C39AEF944E5}">
  <sheetPr codeName="Sheet7"/>
  <dimension ref="A1:R2"/>
  <sheetViews>
    <sheetView topLeftCell="D1" workbookViewId="0">
      <selection activeCell="B1" sqref="B1:B1048576"/>
    </sheetView>
  </sheetViews>
  <sheetFormatPr defaultColWidth="8.88671875" defaultRowHeight="14.4"/>
  <cols>
    <col min="1" max="1" width="9" style="1" customWidth="1"/>
    <col min="2" max="3" width="10.33203125" style="2" customWidth="1"/>
    <col min="4" max="4" width="22.6640625" style="6" bestFit="1" customWidth="1"/>
    <col min="5" max="5" width="41.6640625" style="2" customWidth="1"/>
    <col min="7" max="7" width="15.5546875" style="6" customWidth="1"/>
    <col min="8" max="8" width="18.44140625" style="2" customWidth="1"/>
    <col min="9" max="9" width="14.33203125" style="7" customWidth="1"/>
    <col min="10" max="10" width="13.6640625" bestFit="1" customWidth="1"/>
    <col min="11" max="11" width="13.6640625" customWidth="1"/>
    <col min="12" max="12" width="15.5546875" style="6" customWidth="1"/>
    <col min="13" max="13" width="22.5546875" customWidth="1"/>
    <col min="14" max="14" width="14.109375" style="7" customWidth="1"/>
    <col min="15" max="15" width="10.44140625" style="3" customWidth="1"/>
    <col min="17" max="17" width="22.6640625" style="2" customWidth="1"/>
    <col min="18" max="18" width="46.6640625" style="2" customWidth="1"/>
    <col min="19" max="16384" width="8.88671875" style="6"/>
  </cols>
  <sheetData>
    <row r="1" spans="1:18">
      <c r="A1" s="1" t="s">
        <v>0</v>
      </c>
      <c r="B1" s="4" t="s">
        <v>62</v>
      </c>
      <c r="C1" s="4" t="s">
        <v>72</v>
      </c>
      <c r="D1" t="s">
        <v>33</v>
      </c>
      <c r="E1" s="4" t="s">
        <v>73</v>
      </c>
      <c r="F1" s="4" t="s">
        <v>1</v>
      </c>
      <c r="G1" t="s">
        <v>66</v>
      </c>
      <c r="H1" s="4" t="s">
        <v>14</v>
      </c>
      <c r="I1" s="5" t="s">
        <v>16</v>
      </c>
      <c r="J1" t="s">
        <v>67</v>
      </c>
      <c r="K1" t="s">
        <v>68</v>
      </c>
      <c r="L1" s="8" t="s">
        <v>15</v>
      </c>
      <c r="M1" s="5" t="s">
        <v>32</v>
      </c>
      <c r="N1" s="4" t="s">
        <v>61</v>
      </c>
      <c r="O1" s="6"/>
      <c r="P1" s="6"/>
      <c r="Q1" s="6"/>
      <c r="R1" s="6"/>
    </row>
    <row r="2" spans="1:18">
      <c r="F2" s="2"/>
      <c r="I2" s="3"/>
      <c r="J2" s="6"/>
      <c r="K2" s="6"/>
      <c r="L2" s="7"/>
      <c r="M2" s="3" cm="1">
        <f t="array" ref="M2">IF(
    Shop_Consumables[[#This Row],[Stock_Level]]="Counted",
    Shop_Consumables[[#This Row],[Stock_Count]] * Shop_Consumables[[#This Row],[Unit Cost]],
    IF(
        Shop_Consumables[[#This Row],[Stock_Level]]="None",
        0,
        Shop_Consumables[[#This Row],[Bulk_Value]] * _xlfn.IFS(
            Shop_Consumables[[#This Row],[Stock_Level]]="Many", 1,
            Shop_Consumables[[#This Row],[Stock_Level]]="Adequate", 0.5,
            Shop_Consumables[[#This Row],[Stock_Level]]="Few", 0.25,
            TRUE, 0
        )
    )
)</f>
        <v>0</v>
      </c>
      <c r="N2" s="2"/>
      <c r="O2" s="6"/>
      <c r="P2" s="6"/>
      <c r="Q2" s="6"/>
      <c r="R2" s="6"/>
    </row>
  </sheetData>
  <dataValidations disablePrompts="1" count="1">
    <dataValidation type="list" allowBlank="1" showInputMessage="1" showErrorMessage="1" sqref="F2:G2" xr:uid="{D2C605E8-D02B-4558-82DE-3169088704E8}">
      <formula1>"Fasteners/Hardware,Abrasives/Cutting,Fluids/Lubricants/Chemicals,Primer/Paint,Safety/PPE,Shop/Janitorial,Welding,Electrical,Other"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AACC4-9DA2-4A53-AD77-8C5E0C1BF474}">
  <sheetPr codeName="Sheet4"/>
  <dimension ref="A1:K2"/>
  <sheetViews>
    <sheetView workbookViewId="0">
      <selection activeCell="D18" sqref="D18"/>
    </sheetView>
  </sheetViews>
  <sheetFormatPr defaultColWidth="8.88671875" defaultRowHeight="14.4"/>
  <cols>
    <col min="1" max="1" width="9.33203125" style="1" bestFit="1" customWidth="1"/>
    <col min="2" max="2" width="28.21875" style="2" bestFit="1" customWidth="1"/>
    <col min="3" max="3" width="13.6640625" style="6" bestFit="1" customWidth="1"/>
    <col min="4" max="4" width="14.33203125" style="6" bestFit="1" customWidth="1"/>
    <col min="5" max="5" width="23.109375" style="3" bestFit="1" customWidth="1"/>
    <col min="6" max="6" width="11.44140625" style="9" bestFit="1" customWidth="1"/>
    <col min="7" max="7" width="17.33203125" bestFit="1" customWidth="1"/>
    <col min="8" max="8" width="17.33203125" style="10" bestFit="1" customWidth="1"/>
    <col min="9" max="9" width="18" style="2" bestFit="1" customWidth="1"/>
    <col min="10" max="10" width="13.44140625" style="2" customWidth="1"/>
    <col min="11" max="11" width="9.88671875" style="3" customWidth="1"/>
    <col min="12" max="16384" width="8.88671875" style="6"/>
  </cols>
  <sheetData>
    <row r="1" spans="1:11">
      <c r="A1" s="1" t="s">
        <v>0</v>
      </c>
      <c r="B1" s="4" t="s">
        <v>34</v>
      </c>
      <c r="C1" t="s">
        <v>11</v>
      </c>
      <c r="D1" s="5" t="s">
        <v>12</v>
      </c>
      <c r="E1" s="9" t="s">
        <v>74</v>
      </c>
      <c r="F1" t="s">
        <v>59</v>
      </c>
      <c r="G1" s="9" t="s">
        <v>69</v>
      </c>
      <c r="H1" s="4" t="s">
        <v>60</v>
      </c>
      <c r="I1" s="6"/>
      <c r="J1" s="6"/>
      <c r="K1" s="6"/>
    </row>
    <row r="2" spans="1:11">
      <c r="D2" s="3"/>
      <c r="E2" s="10"/>
      <c r="F2" s="6"/>
      <c r="G2" s="10"/>
      <c r="H2" s="2"/>
      <c r="I2" s="6"/>
      <c r="J2" s="6"/>
      <c r="K2" s="6"/>
    </row>
  </sheetData>
  <dataValidations count="3">
    <dataValidation type="list" allowBlank="1" showInputMessage="1" showErrorMessage="1" sqref="D3:D1000" xr:uid="{8BC162F1-575A-44E2-AA38-454BF93A8AFF}">
      <formula1>"Self in Shop, Contractor in Shop, Out of Shop"</formula1>
    </dataValidation>
    <dataValidation type="list" allowBlank="1" showInputMessage="1" showErrorMessage="1" sqref="C2" xr:uid="{D78DF6AB-EB66-4EBB-ABC5-55445DBB08E9}">
      <formula1>"Self in Shop, Contractor in Shop, Outside Facility"</formula1>
    </dataValidation>
    <dataValidation type="list" allowBlank="1" showInputMessage="1" showErrorMessage="1" sqref="C3:C1000" xr:uid="{E5FFE733-A9D3-430E-8950-CAD58FEAE2C9}">
      <formula1>"Preventive, Repair"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D484-1AEA-488F-ADB2-C66611F8B5C9}">
  <sheetPr codeName="Sheet8"/>
  <dimension ref="A1:I2"/>
  <sheetViews>
    <sheetView workbookViewId="0">
      <selection activeCell="C13" sqref="C13"/>
    </sheetView>
  </sheetViews>
  <sheetFormatPr defaultColWidth="8.88671875" defaultRowHeight="14.4"/>
  <cols>
    <col min="1" max="1" width="9" style="1" customWidth="1"/>
    <col min="2" max="2" width="28.88671875" style="2" customWidth="1"/>
    <col min="3" max="3" width="60.6640625" style="2" customWidth="1"/>
    <col min="4" max="4" width="19.33203125" style="2" customWidth="1"/>
    <col min="5" max="5" width="10.33203125" style="10" customWidth="1"/>
    <col min="6" max="6" width="9.33203125" style="3" customWidth="1"/>
    <col min="8" max="8" width="14.33203125" style="2" customWidth="1"/>
    <col min="9" max="9" width="9.33203125" style="2" customWidth="1"/>
    <col min="10" max="16384" width="8.88671875" style="6"/>
  </cols>
  <sheetData>
    <row r="1" spans="1:9">
      <c r="A1" s="1" t="s">
        <v>0</v>
      </c>
      <c r="B1" s="4" t="s">
        <v>17</v>
      </c>
      <c r="C1" s="4" t="s">
        <v>18</v>
      </c>
      <c r="D1" s="4" t="s">
        <v>19</v>
      </c>
      <c r="E1" s="9" t="s">
        <v>20</v>
      </c>
      <c r="F1" s="5" t="s">
        <v>21</v>
      </c>
      <c r="G1" s="4" t="s">
        <v>22</v>
      </c>
      <c r="H1" s="4" t="s">
        <v>60</v>
      </c>
      <c r="I1" s="6"/>
    </row>
    <row r="2" spans="1:9">
      <c r="G2" s="2"/>
      <c r="I2" s="6"/>
    </row>
  </sheetData>
  <dataValidations count="4">
    <dataValidation type="list" allowBlank="1" showInputMessage="1" showErrorMessage="1" sqref="B3:B1000" xr:uid="{AA2AF827-8A0A-4B34-A36E-624457B5758A}">
      <formula1>"Rent/Mortgage, Utilities, Insurance, Other"</formula1>
    </dataValidation>
    <dataValidation type="list" allowBlank="1" showInputMessage="1" showErrorMessage="1" sqref="B2" xr:uid="{63C2185A-207B-4EF1-BB04-3B86B2517042}">
      <formula1>"Facility Costs/Rent/Mortgage,Insurance,Debt/Leases on Equipment/Business Loans,Subscriptions,Salaries,Utilities,Maintnance/Repair,Marketing/Advertising,Professional Fees,Travel/Vehicles,Depreciation,Other/Miscellaneous"</formula1>
    </dataValidation>
    <dataValidation type="list" allowBlank="1" showInputMessage="1" showErrorMessage="1" sqref="H3:I1000 G2:H2" xr:uid="{5CDD912B-3197-4C62-9DE2-F15AE0580881}">
      <formula1>"YES, NO"</formula1>
    </dataValidation>
    <dataValidation type="list" allowBlank="1" showInputMessage="1" showErrorMessage="1" sqref="D2" xr:uid="{D24BB2FF-F2D7-4CAB-A302-F301339BCAE8}">
      <formula1>"Upon Receipt,Monthly,Weekly,Quarterly,Semi-Annually,Yearly,Other"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BED1-88FC-488E-B7E1-4C6CBEB9589C}">
  <sheetPr codeName="Sheet9"/>
  <dimension ref="A1:G1"/>
  <sheetViews>
    <sheetView workbookViewId="0">
      <selection activeCell="G2" sqref="G2"/>
    </sheetView>
  </sheetViews>
  <sheetFormatPr defaultColWidth="8.88671875" defaultRowHeight="14.4"/>
  <cols>
    <col min="1" max="1" width="9" style="1" customWidth="1"/>
    <col min="2" max="2" width="25.109375" style="1" customWidth="1"/>
    <col min="3" max="3" width="30.5546875" style="2" customWidth="1"/>
    <col min="4" max="4" width="21" style="2" customWidth="1"/>
    <col min="5" max="6" width="20.6640625" style="2" customWidth="1"/>
    <col min="7" max="7" width="32.33203125" style="2" customWidth="1"/>
    <col min="8" max="16384" width="8.88671875" style="6"/>
  </cols>
  <sheetData>
    <row r="1" spans="1:7">
      <c r="A1" s="1" t="s">
        <v>0</v>
      </c>
      <c r="B1" s="1" t="s">
        <v>26</v>
      </c>
      <c r="C1" s="4" t="s">
        <v>27</v>
      </c>
      <c r="D1" s="4" t="s">
        <v>24</v>
      </c>
      <c r="E1" s="4" t="s">
        <v>23</v>
      </c>
      <c r="F1" s="4" t="s">
        <v>25</v>
      </c>
      <c r="G1" s="4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Master Dashboard</vt:lpstr>
      <vt:lpstr>Overhead Summary</vt:lpstr>
      <vt:lpstr>Location</vt:lpstr>
      <vt:lpstr>Resell Inventory</vt:lpstr>
      <vt:lpstr>Shop Machinery</vt:lpstr>
      <vt:lpstr>Shop Power Tools</vt:lpstr>
      <vt:lpstr>Shop Hand Tools</vt:lpstr>
      <vt:lpstr>Shop Consumables</vt:lpstr>
      <vt:lpstr>Maintenance Log</vt:lpstr>
      <vt:lpstr>Shop Overhead</vt:lpstr>
      <vt:lpstr>Supplier Contacts</vt:lpstr>
      <vt:lpstr>MasterLocationList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Eakes</dc:creator>
  <cp:keywords/>
  <dc:description/>
  <cp:lastModifiedBy>Mark Eakes</cp:lastModifiedBy>
  <cp:revision/>
  <dcterms:created xsi:type="dcterms:W3CDTF">2026-02-28T22:24:37Z</dcterms:created>
  <dcterms:modified xsi:type="dcterms:W3CDTF">2026-06-13T17:15:31Z</dcterms:modified>
  <cp:category/>
  <cp:contentStatus/>
</cp:coreProperties>
</file>